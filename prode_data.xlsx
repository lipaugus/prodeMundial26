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ucas\Desktop\prode26\"/>
    </mc:Choice>
  </mc:AlternateContent>
  <xr:revisionPtr revIDLastSave="0" documentId="13_ncr:1_{B777908A-5F16-4DC2-A9A0-6A40482E0541}" xr6:coauthVersionLast="47" xr6:coauthVersionMax="47" xr10:uidLastSave="{00000000-0000-0000-0000-000000000000}"/>
  <bookViews>
    <workbookView xWindow="-120" yWindow="-120" windowWidth="20730" windowHeight="11160" tabRatio="780" firstSheet="1" activeTab="8" xr2:uid="{E90A7C8B-E6B4-4E6A-9703-A59097F09DC3}"/>
  </bookViews>
  <sheets>
    <sheet name="points-table" sheetId="6" r:id="rId1"/>
    <sheet name="team-codes" sheetId="8" r:id="rId2"/>
    <sheet name="match-times" sheetId="5" r:id="rId3"/>
    <sheet name="final-3rd-place" sheetId="12" r:id="rId4"/>
    <sheet name="semifinals" sheetId="11" r:id="rId5"/>
    <sheet name="quaterfinals" sheetId="10" r:id="rId6"/>
    <sheet name="round-of-16" sheetId="9" r:id="rId7"/>
    <sheet name="round-of-32" sheetId="7" r:id="rId8"/>
    <sheet name="group-stage-3" sheetId="3" r:id="rId9"/>
    <sheet name="group-stage-2" sheetId="2" r:id="rId10"/>
    <sheet name="group-stage-1" sheetId="1" r:id="rId1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2" i="6" l="1"/>
  <c r="F3" i="6"/>
  <c r="F5" i="6"/>
  <c r="J2" i="12"/>
  <c r="K2" i="12"/>
  <c r="K3" i="12"/>
  <c r="J3" i="12"/>
  <c r="K3" i="11"/>
  <c r="J3" i="11"/>
  <c r="K2" i="11"/>
  <c r="J2" i="11"/>
  <c r="K5" i="10"/>
  <c r="J5" i="10"/>
  <c r="K4" i="10"/>
  <c r="J4" i="10"/>
  <c r="K3" i="10"/>
  <c r="J3" i="10"/>
  <c r="K2" i="10"/>
  <c r="J2" i="10"/>
  <c r="K9" i="9"/>
  <c r="J9" i="9"/>
  <c r="K8" i="9"/>
  <c r="J8" i="9"/>
  <c r="K7" i="9"/>
  <c r="J7" i="9"/>
  <c r="K6" i="9"/>
  <c r="J6" i="9"/>
  <c r="K5" i="9"/>
  <c r="J5" i="9"/>
  <c r="K4" i="9"/>
  <c r="J4" i="9"/>
  <c r="K3" i="9"/>
  <c r="J3" i="9"/>
  <c r="K2" i="9"/>
  <c r="J2" i="9"/>
  <c r="J2" i="3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" i="1"/>
  <c r="K2" i="2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" i="1"/>
  <c r="J2" i="2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" i="3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G5" i="6"/>
  <c r="K17" i="7"/>
  <c r="J17" i="7"/>
  <c r="K16" i="7"/>
  <c r="J16" i="7"/>
  <c r="K15" i="7"/>
  <c r="J15" i="7"/>
  <c r="K14" i="7"/>
  <c r="J14" i="7"/>
  <c r="K13" i="7"/>
  <c r="J13" i="7"/>
  <c r="K12" i="7"/>
  <c r="J12" i="7"/>
  <c r="K11" i="7"/>
  <c r="J11" i="7"/>
  <c r="K10" i="7"/>
  <c r="J10" i="7"/>
  <c r="K9" i="7"/>
  <c r="J9" i="7"/>
  <c r="K8" i="7"/>
  <c r="J8" i="7"/>
  <c r="K7" i="7"/>
  <c r="J7" i="7"/>
  <c r="K6" i="7"/>
  <c r="J6" i="7"/>
  <c r="K5" i="7"/>
  <c r="J5" i="7"/>
  <c r="K4" i="7"/>
  <c r="J4" i="7"/>
  <c r="K3" i="7"/>
  <c r="J3" i="7"/>
  <c r="K2" i="7"/>
  <c r="J2" i="7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3" i="3"/>
  <c r="K4" i="3"/>
  <c r="K5" i="3"/>
  <c r="J3" i="3"/>
  <c r="J4" i="3"/>
  <c r="J5" i="3"/>
  <c r="J6" i="3"/>
  <c r="J7" i="3"/>
  <c r="J8" i="3"/>
  <c r="J9" i="3"/>
  <c r="J10" i="3"/>
  <c r="J11" i="3"/>
  <c r="J12" i="3"/>
  <c r="J13" i="3"/>
  <c r="J14" i="3"/>
  <c r="J15" i="3"/>
  <c r="J16" i="3"/>
  <c r="J17" i="3"/>
  <c r="J18" i="3"/>
  <c r="J19" i="3"/>
  <c r="J20" i="3"/>
  <c r="J21" i="3"/>
  <c r="J22" i="3"/>
  <c r="J23" i="3"/>
  <c r="J24" i="3"/>
  <c r="J25" i="3"/>
  <c r="F4" i="6" l="1"/>
  <c r="F10" i="6" s="1"/>
  <c r="G4" i="6"/>
  <c r="G2" i="6"/>
  <c r="G3" i="6"/>
  <c r="G10" i="6" l="1"/>
</calcChain>
</file>

<file path=xl/sharedStrings.xml><?xml version="1.0" encoding="utf-8"?>
<sst xmlns="http://schemas.openxmlformats.org/spreadsheetml/2006/main" count="601" uniqueCount="142">
  <si>
    <t>Bosnia</t>
  </si>
  <si>
    <t>Paraguay</t>
  </si>
  <si>
    <t>Catar</t>
  </si>
  <si>
    <t>Suiza</t>
  </si>
  <si>
    <t>Brasil</t>
  </si>
  <si>
    <t>Marruecos</t>
  </si>
  <si>
    <t>Escocia</t>
  </si>
  <si>
    <t>Australia</t>
  </si>
  <si>
    <t>Alemania</t>
  </si>
  <si>
    <t>Curazao</t>
  </si>
  <si>
    <t>Holanda</t>
  </si>
  <si>
    <t>Ecuador</t>
  </si>
  <si>
    <t>Suecia</t>
  </si>
  <si>
    <t>España</t>
  </si>
  <si>
    <t>Cabo Verde</t>
  </si>
  <si>
    <t>Egipto</t>
  </si>
  <si>
    <t>Uruguay</t>
  </si>
  <si>
    <t>Nueva Zelanda</t>
  </si>
  <si>
    <t>Francia</t>
  </si>
  <si>
    <t>Senegal</t>
  </si>
  <si>
    <t>Irak</t>
  </si>
  <si>
    <t>Noruega</t>
  </si>
  <si>
    <t>Argelia</t>
  </si>
  <si>
    <t>Austria</t>
  </si>
  <si>
    <t>Jordania</t>
  </si>
  <si>
    <t>Portugal</t>
  </si>
  <si>
    <t>Inglaterra</t>
  </si>
  <si>
    <t>Croacia</t>
  </si>
  <si>
    <t>Ghana</t>
  </si>
  <si>
    <t>Colombia</t>
  </si>
  <si>
    <t>Sudáfrica</t>
  </si>
  <si>
    <t>Canadá</t>
  </si>
  <si>
    <t>Qatar</t>
  </si>
  <si>
    <t>México</t>
  </si>
  <si>
    <t>Corea del Sur</t>
  </si>
  <si>
    <t>EEUU</t>
  </si>
  <si>
    <t>Haití</t>
  </si>
  <si>
    <t>Turquía</t>
  </si>
  <si>
    <t>Costa de Marfil</t>
  </si>
  <si>
    <t>Arabia Saudita</t>
  </si>
  <si>
    <t>Bélgica</t>
  </si>
  <si>
    <t>Irán</t>
  </si>
  <si>
    <t>Argentina</t>
  </si>
  <si>
    <t>Uzbekistán</t>
  </si>
  <si>
    <t>Panamá</t>
  </si>
  <si>
    <t>RD Congo</t>
  </si>
  <si>
    <t>Rep. Checa</t>
  </si>
  <si>
    <t>Japón</t>
  </si>
  <si>
    <t>team_1</t>
  </si>
  <si>
    <t>team_2</t>
  </si>
  <si>
    <t>pts_lucas</t>
  </si>
  <si>
    <t>pts_tomas</t>
  </si>
  <si>
    <t>Gakpo</t>
  </si>
  <si>
    <t>Saibiri</t>
  </si>
  <si>
    <t>Havertz</t>
  </si>
  <si>
    <t>Vinicius</t>
  </si>
  <si>
    <t>match_id</t>
  </si>
  <si>
    <t>group-stage-3</t>
  </si>
  <si>
    <t>group-stage-2</t>
  </si>
  <si>
    <t>group-stage-1</t>
  </si>
  <si>
    <t>round</t>
  </si>
  <si>
    <t>m</t>
  </si>
  <si>
    <t>d</t>
  </si>
  <si>
    <t>tomas_result_team_2</t>
  </si>
  <si>
    <t>result_team2</t>
  </si>
  <si>
    <t>result_team1</t>
  </si>
  <si>
    <t>lucas_player_pts</t>
  </si>
  <si>
    <t>lucas_player_name</t>
  </si>
  <si>
    <t>tomas_player_name</t>
  </si>
  <si>
    <t>tomas_player_pts</t>
  </si>
  <si>
    <t>lucas</t>
  </si>
  <si>
    <t>tomas</t>
  </si>
  <si>
    <t>round-of-32</t>
  </si>
  <si>
    <t>round-of-16</t>
  </si>
  <si>
    <t>quaterfinals</t>
  </si>
  <si>
    <t>semifinals</t>
  </si>
  <si>
    <t>total</t>
  </si>
  <si>
    <t>Túnez</t>
  </si>
  <si>
    <t>Rep.Checa</t>
  </si>
  <si>
    <t>team</t>
  </si>
  <si>
    <t>fifa_code</t>
  </si>
  <si>
    <t>GER</t>
  </si>
  <si>
    <t>KSA</t>
  </si>
  <si>
    <t>ALG</t>
  </si>
  <si>
    <t>ARG</t>
  </si>
  <si>
    <t>AUS</t>
  </si>
  <si>
    <t>AUT</t>
  </si>
  <si>
    <t>BEL</t>
  </si>
  <si>
    <t>BIH</t>
  </si>
  <si>
    <t>BRA</t>
  </si>
  <si>
    <t>CPV</t>
  </si>
  <si>
    <t>CAN</t>
  </si>
  <si>
    <t>QAT</t>
  </si>
  <si>
    <t>COL</t>
  </si>
  <si>
    <t>KOR</t>
  </si>
  <si>
    <t>CIV</t>
  </si>
  <si>
    <t>CRO</t>
  </si>
  <si>
    <t>CUW</t>
  </si>
  <si>
    <t>ECU</t>
  </si>
  <si>
    <t>USA</t>
  </si>
  <si>
    <t>EGY</t>
  </si>
  <si>
    <t>SCO</t>
  </si>
  <si>
    <t>ESP</t>
  </si>
  <si>
    <t>FRA</t>
  </si>
  <si>
    <t>GHA</t>
  </si>
  <si>
    <t>HAI</t>
  </si>
  <si>
    <t>NED</t>
  </si>
  <si>
    <t>ENG</t>
  </si>
  <si>
    <t>IRQ</t>
  </si>
  <si>
    <t>IRN</t>
  </si>
  <si>
    <t>JPN</t>
  </si>
  <si>
    <t>JOR</t>
  </si>
  <si>
    <t>MAR</t>
  </si>
  <si>
    <t>MEX</t>
  </si>
  <si>
    <t>NOR</t>
  </si>
  <si>
    <t>NZL</t>
  </si>
  <si>
    <t>PAN</t>
  </si>
  <si>
    <t>PAR</t>
  </si>
  <si>
    <t>POR</t>
  </si>
  <si>
    <t>COD</t>
  </si>
  <si>
    <t>CZE</t>
  </si>
  <si>
    <t>SEN</t>
  </si>
  <si>
    <t>RSA</t>
  </si>
  <si>
    <t>SWE</t>
  </si>
  <si>
    <t>SUI</t>
  </si>
  <si>
    <t>TUN</t>
  </si>
  <si>
    <t>TUR</t>
  </si>
  <si>
    <t>URU</t>
  </si>
  <si>
    <t>UZB</t>
  </si>
  <si>
    <t>final-3rd-place</t>
  </si>
  <si>
    <t>min</t>
  </si>
  <si>
    <t>hr</t>
  </si>
  <si>
    <t>lucas_result_team_1</t>
  </si>
  <si>
    <t>lucas_result_team_2</t>
  </si>
  <si>
    <t>tomas_result_team_1</t>
  </si>
  <si>
    <t>result_team_1</t>
  </si>
  <si>
    <t>result_team_2</t>
  </si>
  <si>
    <t>start_date</t>
  </si>
  <si>
    <t>end_date</t>
  </si>
  <si>
    <t>start_hour</t>
  </si>
  <si>
    <t>end_hour</t>
  </si>
  <si>
    <t>match-id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</si>
</sst>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"/>
    <numFmt numFmtId="165" formatCode="0.0"/>
  </numFmts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ashDotDot">
        <color theme="0" tint="-0.14996795556505021"/>
      </top>
      <bottom style="dashDotDot">
        <color theme="0" tint="-0.14996795556505021"/>
      </bottom>
      <diagonal/>
    </border>
    <border>
      <left style="thin">
        <color auto="1"/>
      </left>
      <right style="thin">
        <color auto="1"/>
      </right>
      <top style="dashDotDot">
        <color theme="0" tint="-0.1499679555650502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dashDotDot">
        <color theme="0" tint="-0.14996795556505021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20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4" borderId="4" xfId="0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165" fontId="0" fillId="0" borderId="0" xfId="0" applyNumberFormat="1" applyAlignment="1">
      <alignment horizontal="center"/>
    </xf>
    <xf numFmtId="16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AB2A93-2481-434C-91A8-76A12258E8CC}">
  <dimension ref="A1:G10"/>
  <sheetViews>
    <sheetView workbookViewId="0">
      <selection activeCell="B19" sqref="B19"/>
    </sheetView>
  </sheetViews>
  <sheetFormatPr baseColWidth="10" defaultRowHeight="15" x14ac:dyDescent="0.25"/>
  <cols>
    <col min="1" max="1" width="14" style="1" bestFit="1" customWidth="1"/>
    <col min="2" max="5" width="14" style="1" customWidth="1"/>
    <col min="6" max="16384" width="11.42578125" style="1"/>
  </cols>
  <sheetData>
    <row r="1" spans="1:7" x14ac:dyDescent="0.25">
      <c r="A1" s="1" t="s">
        <v>60</v>
      </c>
      <c r="B1" s="1" t="s">
        <v>137</v>
      </c>
      <c r="C1" s="1" t="s">
        <v>138</v>
      </c>
      <c r="D1" s="1" t="s">
        <v>139</v>
      </c>
      <c r="E1" s="1" t="s">
        <v>140</v>
      </c>
      <c r="F1" s="1" t="s">
        <v>70</v>
      </c>
      <c r="G1" s="1" t="s">
        <v>71</v>
      </c>
    </row>
    <row r="2" spans="1:7" x14ac:dyDescent="0.25">
      <c r="A2" s="1" t="s">
        <v>59</v>
      </c>
      <c r="B2" s="22">
        <v>46184</v>
      </c>
      <c r="C2" s="22">
        <v>46191</v>
      </c>
      <c r="D2" s="3">
        <v>0</v>
      </c>
      <c r="E2" s="3">
        <v>0.41666666666666669</v>
      </c>
      <c r="F2" s="1">
        <f>+SUM('group-stage-1'!J2:J25,'group-stage-1'!M2:M25)</f>
        <v>16</v>
      </c>
      <c r="G2" s="1">
        <f>+SUM('group-stage-1'!K2:K25,'group-stage-1'!O2:O25)</f>
        <v>10</v>
      </c>
    </row>
    <row r="3" spans="1:7" x14ac:dyDescent="0.25">
      <c r="A3" s="1" t="s">
        <v>58</v>
      </c>
      <c r="B3" s="22">
        <v>46191</v>
      </c>
      <c r="C3" s="22">
        <v>46197</v>
      </c>
      <c r="D3" s="3">
        <v>0.41736111111111113</v>
      </c>
      <c r="E3" s="3">
        <v>0.41666666666666669</v>
      </c>
      <c r="F3" s="1">
        <f>+SUM('group-stage-2'!J2:J25,'group-stage-2'!M2:M25)</f>
        <v>29.1</v>
      </c>
      <c r="G3" s="1">
        <f>+SUM('group-stage-2'!K2:K25,'group-stage-2'!O2:O25)</f>
        <v>29</v>
      </c>
    </row>
    <row r="4" spans="1:7" x14ac:dyDescent="0.25">
      <c r="A4" s="1" t="s">
        <v>57</v>
      </c>
      <c r="B4" s="22">
        <v>46197</v>
      </c>
      <c r="C4" s="22">
        <v>46201</v>
      </c>
      <c r="D4" s="3">
        <v>0.41736111111111113</v>
      </c>
      <c r="E4" s="3">
        <v>0.41666666666666669</v>
      </c>
      <c r="F4" s="1">
        <f>+SUM('group-stage-3'!J2:J25,'group-stage-3'!M2:M25)</f>
        <v>20.3</v>
      </c>
      <c r="G4" s="1">
        <f>+SUM('group-stage-3'!K2:K25,'group-stage-3'!O2:O25)</f>
        <v>19.3</v>
      </c>
    </row>
    <row r="5" spans="1:7" x14ac:dyDescent="0.25">
      <c r="A5" s="1" t="s">
        <v>72</v>
      </c>
      <c r="B5" s="22">
        <v>46201</v>
      </c>
      <c r="C5" s="22">
        <v>46207</v>
      </c>
      <c r="D5" s="3">
        <v>0.41736111111111113</v>
      </c>
      <c r="E5" s="3">
        <v>0.41666666666666669</v>
      </c>
      <c r="F5" s="1">
        <f>+SUM('round-of-32'!J2:J25,'round-of-32'!M2:M25)</f>
        <v>0</v>
      </c>
      <c r="G5" s="1">
        <f>+SUM('round-of-32'!K2:K25,'round-of-32'!O2:O25)</f>
        <v>0</v>
      </c>
    </row>
    <row r="6" spans="1:7" x14ac:dyDescent="0.25">
      <c r="A6" s="1" t="s">
        <v>73</v>
      </c>
      <c r="B6" s="22">
        <v>46207</v>
      </c>
      <c r="C6" s="22">
        <v>46211</v>
      </c>
      <c r="D6" s="3">
        <v>0.41736111111111113</v>
      </c>
      <c r="E6" s="3">
        <v>0.625</v>
      </c>
    </row>
    <row r="7" spans="1:7" x14ac:dyDescent="0.25">
      <c r="A7" s="1" t="s">
        <v>74</v>
      </c>
      <c r="B7" s="22">
        <v>46211</v>
      </c>
      <c r="C7" s="22">
        <v>46216</v>
      </c>
      <c r="D7" s="3">
        <v>0.62569444444444444</v>
      </c>
      <c r="E7" s="3">
        <v>0.625</v>
      </c>
    </row>
    <row r="8" spans="1:7" x14ac:dyDescent="0.25">
      <c r="A8" s="1" t="s">
        <v>75</v>
      </c>
      <c r="B8" s="22">
        <v>46216</v>
      </c>
      <c r="C8" s="22">
        <v>46220</v>
      </c>
      <c r="D8" s="3">
        <v>0.62569444444444444</v>
      </c>
      <c r="E8" s="3">
        <v>0.625</v>
      </c>
    </row>
    <row r="9" spans="1:7" x14ac:dyDescent="0.25">
      <c r="A9" s="1" t="s">
        <v>129</v>
      </c>
      <c r="B9" s="22">
        <v>46220</v>
      </c>
      <c r="C9" s="22"/>
      <c r="D9" s="3">
        <v>0.62569444444444444</v>
      </c>
      <c r="E9" s="22"/>
    </row>
    <row r="10" spans="1:7" x14ac:dyDescent="0.25">
      <c r="A10" s="1" t="s">
        <v>76</v>
      </c>
      <c r="F10" s="1">
        <f>+SUM(F2:F9)</f>
        <v>65.400000000000006</v>
      </c>
      <c r="G10" s="1">
        <f>+SUM(G2:G9)</f>
        <v>58.3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8FD2A3-D90C-4826-8485-B5EF1131F189}">
  <dimension ref="A1:B71"/>
  <sheetViews>
    <sheetView workbookViewId="0">
      <selection activeCell="C8" sqref="C8"/>
    </sheetView>
  </sheetViews>
  <sheetFormatPr baseColWidth="10" defaultRowHeight="15" x14ac:dyDescent="0.25"/>
  <cols>
    <col min="1" max="1" width="14.140625" style="1" bestFit="1" customWidth="1"/>
    <col min="2" max="2" width="11.42578125" style="1"/>
  </cols>
  <sheetData>
    <row r="1" spans="1:2" x14ac:dyDescent="0.25">
      <c r="A1" s="1" t="s">
        <v>79</v>
      </c>
      <c r="B1" s="1" t="s">
        <v>80</v>
      </c>
    </row>
    <row r="2" spans="1:2" x14ac:dyDescent="0.25">
      <c r="A2" s="1" t="s">
        <v>8</v>
      </c>
      <c r="B2" s="1" t="s">
        <v>81</v>
      </c>
    </row>
    <row r="3" spans="1:2" x14ac:dyDescent="0.25">
      <c r="A3" s="1" t="s">
        <v>39</v>
      </c>
      <c r="B3" s="1" t="s">
        <v>82</v>
      </c>
    </row>
    <row r="4" spans="1:2" x14ac:dyDescent="0.25">
      <c r="A4" s="1" t="s">
        <v>22</v>
      </c>
      <c r="B4" s="1" t="s">
        <v>83</v>
      </c>
    </row>
    <row r="5" spans="1:2" x14ac:dyDescent="0.25">
      <c r="A5" s="1" t="s">
        <v>42</v>
      </c>
      <c r="B5" s="1" t="s">
        <v>84</v>
      </c>
    </row>
    <row r="6" spans="1:2" x14ac:dyDescent="0.25">
      <c r="A6" s="1" t="s">
        <v>7</v>
      </c>
      <c r="B6" s="1" t="s">
        <v>85</v>
      </c>
    </row>
    <row r="7" spans="1:2" x14ac:dyDescent="0.25">
      <c r="A7" s="1" t="s">
        <v>23</v>
      </c>
      <c r="B7" s="1" t="s">
        <v>86</v>
      </c>
    </row>
    <row r="8" spans="1:2" x14ac:dyDescent="0.25">
      <c r="A8" s="1" t="s">
        <v>40</v>
      </c>
      <c r="B8" s="1" t="s">
        <v>87</v>
      </c>
    </row>
    <row r="9" spans="1:2" x14ac:dyDescent="0.25">
      <c r="A9" s="1" t="s">
        <v>0</v>
      </c>
      <c r="B9" s="1" t="s">
        <v>88</v>
      </c>
    </row>
    <row r="10" spans="1:2" x14ac:dyDescent="0.25">
      <c r="A10" s="1" t="s">
        <v>4</v>
      </c>
      <c r="B10" s="1" t="s">
        <v>89</v>
      </c>
    </row>
    <row r="11" spans="1:2" x14ac:dyDescent="0.25">
      <c r="A11" s="1" t="s">
        <v>14</v>
      </c>
      <c r="B11" s="1" t="s">
        <v>90</v>
      </c>
    </row>
    <row r="12" spans="1:2" x14ac:dyDescent="0.25">
      <c r="A12" s="1" t="s">
        <v>31</v>
      </c>
      <c r="B12" s="1" t="s">
        <v>91</v>
      </c>
    </row>
    <row r="13" spans="1:2" x14ac:dyDescent="0.25">
      <c r="A13" s="1" t="s">
        <v>2</v>
      </c>
      <c r="B13" s="1" t="s">
        <v>92</v>
      </c>
    </row>
    <row r="14" spans="1:2" x14ac:dyDescent="0.25">
      <c r="A14" s="1" t="s">
        <v>29</v>
      </c>
      <c r="B14" s="1" t="s">
        <v>93</v>
      </c>
    </row>
    <row r="15" spans="1:2" x14ac:dyDescent="0.25">
      <c r="A15" s="1" t="s">
        <v>34</v>
      </c>
      <c r="B15" s="1" t="s">
        <v>94</v>
      </c>
    </row>
    <row r="16" spans="1:2" x14ac:dyDescent="0.25">
      <c r="A16" s="1" t="s">
        <v>38</v>
      </c>
      <c r="B16" s="1" t="s">
        <v>95</v>
      </c>
    </row>
    <row r="17" spans="1:2" x14ac:dyDescent="0.25">
      <c r="A17" s="1" t="s">
        <v>27</v>
      </c>
      <c r="B17" s="1" t="s">
        <v>96</v>
      </c>
    </row>
    <row r="18" spans="1:2" x14ac:dyDescent="0.25">
      <c r="A18" s="1" t="s">
        <v>9</v>
      </c>
      <c r="B18" s="1" t="s">
        <v>97</v>
      </c>
    </row>
    <row r="19" spans="1:2" x14ac:dyDescent="0.25">
      <c r="A19" s="1" t="s">
        <v>11</v>
      </c>
      <c r="B19" s="1" t="s">
        <v>98</v>
      </c>
    </row>
    <row r="20" spans="1:2" x14ac:dyDescent="0.25">
      <c r="A20" s="1" t="s">
        <v>35</v>
      </c>
      <c r="B20" s="1" t="s">
        <v>99</v>
      </c>
    </row>
    <row r="21" spans="1:2" x14ac:dyDescent="0.25">
      <c r="A21" s="1" t="s">
        <v>15</v>
      </c>
      <c r="B21" s="1" t="s">
        <v>100</v>
      </c>
    </row>
    <row r="22" spans="1:2" x14ac:dyDescent="0.25">
      <c r="A22" s="1" t="s">
        <v>6</v>
      </c>
      <c r="B22" s="1" t="s">
        <v>101</v>
      </c>
    </row>
    <row r="23" spans="1:2" x14ac:dyDescent="0.25">
      <c r="A23" s="1" t="s">
        <v>13</v>
      </c>
      <c r="B23" s="1" t="s">
        <v>102</v>
      </c>
    </row>
    <row r="24" spans="1:2" x14ac:dyDescent="0.25">
      <c r="A24" s="1" t="s">
        <v>18</v>
      </c>
      <c r="B24" s="1" t="s">
        <v>103</v>
      </c>
    </row>
    <row r="25" spans="1:2" x14ac:dyDescent="0.25">
      <c r="A25" s="1" t="s">
        <v>28</v>
      </c>
      <c r="B25" s="1" t="s">
        <v>104</v>
      </c>
    </row>
    <row r="26" spans="1:2" x14ac:dyDescent="0.25">
      <c r="A26" s="1" t="s">
        <v>36</v>
      </c>
      <c r="B26" s="1" t="s">
        <v>105</v>
      </c>
    </row>
    <row r="27" spans="1:2" x14ac:dyDescent="0.25">
      <c r="A27" s="1" t="s">
        <v>10</v>
      </c>
      <c r="B27" s="1" t="s">
        <v>106</v>
      </c>
    </row>
    <row r="28" spans="1:2" x14ac:dyDescent="0.25">
      <c r="A28" s="1" t="s">
        <v>26</v>
      </c>
      <c r="B28" s="1" t="s">
        <v>107</v>
      </c>
    </row>
    <row r="29" spans="1:2" x14ac:dyDescent="0.25">
      <c r="A29" s="1" t="s">
        <v>20</v>
      </c>
      <c r="B29" s="1" t="s">
        <v>108</v>
      </c>
    </row>
    <row r="30" spans="1:2" x14ac:dyDescent="0.25">
      <c r="A30" s="1" t="s">
        <v>41</v>
      </c>
      <c r="B30" s="1" t="s">
        <v>109</v>
      </c>
    </row>
    <row r="31" spans="1:2" x14ac:dyDescent="0.25">
      <c r="A31" s="1" t="s">
        <v>47</v>
      </c>
      <c r="B31" s="1" t="s">
        <v>110</v>
      </c>
    </row>
    <row r="32" spans="1:2" x14ac:dyDescent="0.25">
      <c r="A32" s="1" t="s">
        <v>24</v>
      </c>
      <c r="B32" s="1" t="s">
        <v>111</v>
      </c>
    </row>
    <row r="33" spans="1:2" x14ac:dyDescent="0.25">
      <c r="A33" s="1" t="s">
        <v>5</v>
      </c>
      <c r="B33" s="1" t="s">
        <v>112</v>
      </c>
    </row>
    <row r="34" spans="1:2" x14ac:dyDescent="0.25">
      <c r="A34" s="1" t="s">
        <v>33</v>
      </c>
      <c r="B34" s="1" t="s">
        <v>113</v>
      </c>
    </row>
    <row r="35" spans="1:2" x14ac:dyDescent="0.25">
      <c r="A35" s="1" t="s">
        <v>21</v>
      </c>
      <c r="B35" s="1" t="s">
        <v>114</v>
      </c>
    </row>
    <row r="36" spans="1:2" x14ac:dyDescent="0.25">
      <c r="A36" s="1" t="s">
        <v>17</v>
      </c>
      <c r="B36" s="1" t="s">
        <v>115</v>
      </c>
    </row>
    <row r="37" spans="1:2" x14ac:dyDescent="0.25">
      <c r="A37" s="1" t="s">
        <v>44</v>
      </c>
      <c r="B37" s="1" t="s">
        <v>116</v>
      </c>
    </row>
    <row r="38" spans="1:2" x14ac:dyDescent="0.25">
      <c r="A38" s="1" t="s">
        <v>1</v>
      </c>
      <c r="B38" s="1" t="s">
        <v>117</v>
      </c>
    </row>
    <row r="39" spans="1:2" x14ac:dyDescent="0.25">
      <c r="A39" s="1" t="s">
        <v>25</v>
      </c>
      <c r="B39" s="1" t="s">
        <v>118</v>
      </c>
    </row>
    <row r="40" spans="1:2" x14ac:dyDescent="0.25">
      <c r="A40" s="1" t="s">
        <v>45</v>
      </c>
      <c r="B40" s="1" t="s">
        <v>119</v>
      </c>
    </row>
    <row r="41" spans="1:2" x14ac:dyDescent="0.25">
      <c r="A41" s="1" t="s">
        <v>46</v>
      </c>
      <c r="B41" s="1" t="s">
        <v>120</v>
      </c>
    </row>
    <row r="42" spans="1:2" x14ac:dyDescent="0.25">
      <c r="A42" s="1" t="s">
        <v>19</v>
      </c>
      <c r="B42" s="1" t="s">
        <v>121</v>
      </c>
    </row>
    <row r="43" spans="1:2" x14ac:dyDescent="0.25">
      <c r="A43" s="1" t="s">
        <v>30</v>
      </c>
      <c r="B43" s="1" t="s">
        <v>122</v>
      </c>
    </row>
    <row r="44" spans="1:2" x14ac:dyDescent="0.25">
      <c r="A44" s="1" t="s">
        <v>12</v>
      </c>
      <c r="B44" s="1" t="s">
        <v>123</v>
      </c>
    </row>
    <row r="45" spans="1:2" x14ac:dyDescent="0.25">
      <c r="A45" s="1" t="s">
        <v>3</v>
      </c>
      <c r="B45" s="1" t="s">
        <v>124</v>
      </c>
    </row>
    <row r="46" spans="1:2" x14ac:dyDescent="0.25">
      <c r="A46" s="1" t="s">
        <v>77</v>
      </c>
      <c r="B46" s="1" t="s">
        <v>125</v>
      </c>
    </row>
    <row r="47" spans="1:2" x14ac:dyDescent="0.25">
      <c r="A47" s="1" t="s">
        <v>37</v>
      </c>
      <c r="B47" s="1" t="s">
        <v>126</v>
      </c>
    </row>
    <row r="48" spans="1:2" x14ac:dyDescent="0.25">
      <c r="A48" s="1" t="s">
        <v>16</v>
      </c>
      <c r="B48" s="1" t="s">
        <v>127</v>
      </c>
    </row>
    <row r="49" spans="1:2" x14ac:dyDescent="0.25">
      <c r="A49" s="1" t="s">
        <v>43</v>
      </c>
      <c r="B49" s="1" t="s">
        <v>128</v>
      </c>
    </row>
    <row r="50" spans="1:2" x14ac:dyDescent="0.25">
      <c r="A50"/>
    </row>
    <row r="51" spans="1:2" x14ac:dyDescent="0.25">
      <c r="A51"/>
    </row>
    <row r="52" spans="1:2" x14ac:dyDescent="0.25">
      <c r="A52"/>
    </row>
    <row r="53" spans="1:2" x14ac:dyDescent="0.25">
      <c r="A53"/>
    </row>
    <row r="54" spans="1:2" x14ac:dyDescent="0.25">
      <c r="A54"/>
    </row>
    <row r="55" spans="1:2" x14ac:dyDescent="0.25">
      <c r="A55"/>
    </row>
    <row r="56" spans="1:2" x14ac:dyDescent="0.25">
      <c r="A56"/>
    </row>
    <row r="57" spans="1:2" x14ac:dyDescent="0.25">
      <c r="A57"/>
    </row>
    <row r="58" spans="1:2" x14ac:dyDescent="0.25">
      <c r="A58"/>
    </row>
    <row r="59" spans="1:2" x14ac:dyDescent="0.25">
      <c r="A59"/>
    </row>
    <row r="60" spans="1:2" x14ac:dyDescent="0.25">
      <c r="A60"/>
    </row>
    <row r="61" spans="1:2" x14ac:dyDescent="0.25">
      <c r="A61"/>
    </row>
    <row r="62" spans="1:2" x14ac:dyDescent="0.25">
      <c r="A62"/>
    </row>
    <row r="63" spans="1:2" x14ac:dyDescent="0.25">
      <c r="A63"/>
    </row>
    <row r="64" spans="1:2" x14ac:dyDescent="0.25">
      <c r="A64"/>
    </row>
    <row r="65" spans="1:1" x14ac:dyDescent="0.25">
      <c r="A65"/>
    </row>
    <row r="66" spans="1:1" x14ac:dyDescent="0.25">
      <c r="A66"/>
    </row>
    <row r="67" spans="1:1" x14ac:dyDescent="0.25">
      <c r="A67"/>
    </row>
    <row r="68" spans="1:1" x14ac:dyDescent="0.25">
      <c r="A68"/>
    </row>
    <row r="69" spans="1:1" x14ac:dyDescent="0.25">
      <c r="A69"/>
    </row>
    <row r="70" spans="1:1" x14ac:dyDescent="0.25">
      <c r="A70"/>
    </row>
    <row r="71" spans="1:1" x14ac:dyDescent="0.25">
      <c r="A71"/>
    </row>
  </sheetData>
  <sortState xmlns:xlrd2="http://schemas.microsoft.com/office/spreadsheetml/2017/richdata2" ref="A2:A71">
    <sortCondition ref="A2:A71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DCE808-2611-4E43-A43B-5A534DB773B7}">
  <dimension ref="A1:K72"/>
  <sheetViews>
    <sheetView workbookViewId="0">
      <pane ySplit="1" topLeftCell="A2" activePane="bottomLeft" state="frozen"/>
      <selection pane="bottomLeft" activeCell="A2" sqref="A2"/>
    </sheetView>
  </sheetViews>
  <sheetFormatPr baseColWidth="10" defaultRowHeight="15" x14ac:dyDescent="0.25"/>
  <cols>
    <col min="1" max="1" width="11.42578125" style="1"/>
    <col min="2" max="2" width="14.140625" style="1" bestFit="1" customWidth="1"/>
    <col min="3" max="3" width="14.28515625" style="1" bestFit="1" customWidth="1"/>
    <col min="4" max="4" width="13.28515625" style="1" bestFit="1" customWidth="1"/>
    <col min="5" max="6" width="3.42578125" style="4" customWidth="1"/>
    <col min="7" max="8" width="4.42578125" style="4" customWidth="1"/>
    <col min="9" max="9" width="11.42578125" style="2"/>
    <col min="10" max="10" width="11.42578125" style="3"/>
  </cols>
  <sheetData>
    <row r="1" spans="1:11" x14ac:dyDescent="0.25">
      <c r="A1" s="1" t="s">
        <v>141</v>
      </c>
      <c r="B1" s="1" t="s">
        <v>48</v>
      </c>
      <c r="C1" s="1" t="s">
        <v>49</v>
      </c>
      <c r="D1" s="1" t="s">
        <v>60</v>
      </c>
      <c r="E1" s="4" t="s">
        <v>62</v>
      </c>
      <c r="F1" s="4" t="s">
        <v>61</v>
      </c>
      <c r="G1" s="4" t="s">
        <v>131</v>
      </c>
      <c r="H1" s="21" t="s">
        <v>130</v>
      </c>
      <c r="I1" s="1"/>
      <c r="J1" s="1"/>
    </row>
    <row r="2" spans="1:11" x14ac:dyDescent="0.25">
      <c r="A2" s="1">
        <v>1</v>
      </c>
      <c r="B2" s="1" t="s">
        <v>34</v>
      </c>
      <c r="C2" s="1" t="s">
        <v>46</v>
      </c>
      <c r="D2" s="1" t="s">
        <v>59</v>
      </c>
      <c r="E2" s="4">
        <v>11</v>
      </c>
      <c r="F2" s="4">
        <v>6</v>
      </c>
      <c r="G2" s="4">
        <v>23</v>
      </c>
      <c r="H2" s="4">
        <v>0</v>
      </c>
      <c r="K2" s="1"/>
    </row>
    <row r="3" spans="1:11" x14ac:dyDescent="0.25">
      <c r="A3" s="1">
        <v>2</v>
      </c>
      <c r="B3" s="1" t="s">
        <v>31</v>
      </c>
      <c r="C3" s="1" t="s">
        <v>0</v>
      </c>
      <c r="D3" s="1" t="s">
        <v>59</v>
      </c>
      <c r="E3" s="4">
        <v>12</v>
      </c>
      <c r="F3" s="4">
        <v>6</v>
      </c>
      <c r="G3" s="4">
        <v>16</v>
      </c>
      <c r="H3" s="4">
        <v>0</v>
      </c>
    </row>
    <row r="4" spans="1:11" x14ac:dyDescent="0.25">
      <c r="A4" s="1">
        <v>3</v>
      </c>
      <c r="B4" s="1" t="s">
        <v>35</v>
      </c>
      <c r="C4" s="1" t="s">
        <v>1</v>
      </c>
      <c r="D4" s="1" t="s">
        <v>59</v>
      </c>
      <c r="E4" s="4">
        <v>12</v>
      </c>
      <c r="F4" s="4">
        <v>6</v>
      </c>
      <c r="G4" s="4">
        <v>22</v>
      </c>
      <c r="H4" s="4">
        <v>0</v>
      </c>
    </row>
    <row r="5" spans="1:11" x14ac:dyDescent="0.25">
      <c r="A5" s="1">
        <v>4</v>
      </c>
      <c r="B5" s="1" t="s">
        <v>2</v>
      </c>
      <c r="C5" s="1" t="s">
        <v>3</v>
      </c>
      <c r="D5" s="1" t="s">
        <v>59</v>
      </c>
      <c r="E5" s="4">
        <v>13</v>
      </c>
      <c r="F5" s="4">
        <v>6</v>
      </c>
      <c r="G5" s="4">
        <v>16</v>
      </c>
      <c r="H5" s="4">
        <v>0</v>
      </c>
    </row>
    <row r="6" spans="1:11" x14ac:dyDescent="0.25">
      <c r="A6" s="1">
        <v>5</v>
      </c>
      <c r="B6" s="1" t="s">
        <v>4</v>
      </c>
      <c r="C6" s="1" t="s">
        <v>5</v>
      </c>
      <c r="D6" s="1" t="s">
        <v>59</v>
      </c>
      <c r="E6" s="4">
        <v>13</v>
      </c>
      <c r="F6" s="4">
        <v>6</v>
      </c>
      <c r="G6" s="4">
        <v>19</v>
      </c>
      <c r="H6" s="4">
        <v>0</v>
      </c>
    </row>
    <row r="7" spans="1:11" x14ac:dyDescent="0.25">
      <c r="A7" s="1">
        <v>6</v>
      </c>
      <c r="B7" s="1" t="s">
        <v>36</v>
      </c>
      <c r="C7" s="1" t="s">
        <v>6</v>
      </c>
      <c r="D7" s="1" t="s">
        <v>59</v>
      </c>
      <c r="E7" s="4">
        <v>13</v>
      </c>
      <c r="F7" s="4">
        <v>6</v>
      </c>
      <c r="G7" s="4">
        <v>22</v>
      </c>
      <c r="H7" s="4">
        <v>0</v>
      </c>
    </row>
    <row r="8" spans="1:11" x14ac:dyDescent="0.25">
      <c r="A8" s="1">
        <v>7</v>
      </c>
      <c r="B8" s="1" t="s">
        <v>7</v>
      </c>
      <c r="C8" s="1" t="s">
        <v>37</v>
      </c>
      <c r="D8" s="1" t="s">
        <v>59</v>
      </c>
      <c r="E8" s="4">
        <v>14</v>
      </c>
      <c r="F8" s="4">
        <v>6</v>
      </c>
      <c r="G8" s="4">
        <v>1</v>
      </c>
      <c r="H8" s="4">
        <v>0</v>
      </c>
    </row>
    <row r="9" spans="1:11" x14ac:dyDescent="0.25">
      <c r="A9" s="1">
        <v>8</v>
      </c>
      <c r="B9" s="1" t="s">
        <v>8</v>
      </c>
      <c r="C9" s="1" t="s">
        <v>9</v>
      </c>
      <c r="D9" s="1" t="s">
        <v>59</v>
      </c>
      <c r="E9" s="4">
        <v>14</v>
      </c>
      <c r="F9" s="4">
        <v>6</v>
      </c>
      <c r="G9" s="4">
        <v>14</v>
      </c>
      <c r="H9" s="4">
        <v>0</v>
      </c>
    </row>
    <row r="10" spans="1:11" x14ac:dyDescent="0.25">
      <c r="A10" s="1">
        <v>9</v>
      </c>
      <c r="B10" s="1" t="s">
        <v>10</v>
      </c>
      <c r="C10" s="1" t="s">
        <v>47</v>
      </c>
      <c r="D10" s="1" t="s">
        <v>59</v>
      </c>
      <c r="E10" s="4">
        <v>14</v>
      </c>
      <c r="F10" s="4">
        <v>6</v>
      </c>
      <c r="G10" s="4">
        <v>17</v>
      </c>
      <c r="H10" s="4">
        <v>0</v>
      </c>
    </row>
    <row r="11" spans="1:11" x14ac:dyDescent="0.25">
      <c r="A11" s="1">
        <v>10</v>
      </c>
      <c r="B11" s="1" t="s">
        <v>38</v>
      </c>
      <c r="C11" s="1" t="s">
        <v>11</v>
      </c>
      <c r="D11" s="1" t="s">
        <v>59</v>
      </c>
      <c r="E11" s="4">
        <v>14</v>
      </c>
      <c r="F11" s="4">
        <v>6</v>
      </c>
      <c r="G11" s="4">
        <v>20</v>
      </c>
      <c r="H11" s="4">
        <v>0</v>
      </c>
    </row>
    <row r="12" spans="1:11" x14ac:dyDescent="0.25">
      <c r="A12" s="1">
        <v>11</v>
      </c>
      <c r="B12" s="1" t="s">
        <v>12</v>
      </c>
      <c r="C12" s="1" t="s">
        <v>77</v>
      </c>
      <c r="D12" s="1" t="s">
        <v>59</v>
      </c>
      <c r="E12" s="4">
        <v>14</v>
      </c>
      <c r="F12" s="4">
        <v>6</v>
      </c>
      <c r="G12" s="4">
        <v>23</v>
      </c>
      <c r="H12" s="4">
        <v>0</v>
      </c>
    </row>
    <row r="13" spans="1:11" x14ac:dyDescent="0.25">
      <c r="A13" s="1">
        <v>12</v>
      </c>
      <c r="B13" s="1" t="s">
        <v>13</v>
      </c>
      <c r="C13" s="1" t="s">
        <v>14</v>
      </c>
      <c r="D13" s="1" t="s">
        <v>59</v>
      </c>
      <c r="E13" s="4">
        <v>15</v>
      </c>
      <c r="F13" s="4">
        <v>6</v>
      </c>
      <c r="G13" s="4">
        <v>13</v>
      </c>
      <c r="H13" s="4">
        <v>0</v>
      </c>
    </row>
    <row r="14" spans="1:11" x14ac:dyDescent="0.25">
      <c r="A14" s="1">
        <v>13</v>
      </c>
      <c r="B14" s="1" t="s">
        <v>40</v>
      </c>
      <c r="C14" s="1" t="s">
        <v>15</v>
      </c>
      <c r="D14" s="1" t="s">
        <v>59</v>
      </c>
      <c r="E14" s="4">
        <v>15</v>
      </c>
      <c r="F14" s="4">
        <v>6</v>
      </c>
      <c r="G14" s="4">
        <v>16</v>
      </c>
      <c r="H14" s="4">
        <v>0</v>
      </c>
    </row>
    <row r="15" spans="1:11" x14ac:dyDescent="0.25">
      <c r="A15" s="1">
        <v>14</v>
      </c>
      <c r="B15" s="1" t="s">
        <v>39</v>
      </c>
      <c r="C15" s="1" t="s">
        <v>16</v>
      </c>
      <c r="D15" s="1" t="s">
        <v>59</v>
      </c>
      <c r="E15" s="4">
        <v>15</v>
      </c>
      <c r="F15" s="4">
        <v>6</v>
      </c>
      <c r="G15" s="4">
        <v>19</v>
      </c>
      <c r="H15" s="4">
        <v>0</v>
      </c>
    </row>
    <row r="16" spans="1:11" x14ac:dyDescent="0.25">
      <c r="A16" s="1">
        <v>15</v>
      </c>
      <c r="B16" s="1" t="s">
        <v>41</v>
      </c>
      <c r="C16" s="1" t="s">
        <v>17</v>
      </c>
      <c r="D16" s="1" t="s">
        <v>59</v>
      </c>
      <c r="E16" s="4">
        <v>15</v>
      </c>
      <c r="F16" s="4">
        <v>6</v>
      </c>
      <c r="G16" s="4">
        <v>22</v>
      </c>
      <c r="H16" s="4">
        <v>0</v>
      </c>
    </row>
    <row r="17" spans="1:8" x14ac:dyDescent="0.25">
      <c r="A17" s="1">
        <v>16</v>
      </c>
      <c r="B17" s="1" t="s">
        <v>18</v>
      </c>
      <c r="C17" s="1" t="s">
        <v>19</v>
      </c>
      <c r="D17" s="1" t="s">
        <v>59</v>
      </c>
      <c r="E17" s="4">
        <v>16</v>
      </c>
      <c r="F17" s="4">
        <v>6</v>
      </c>
      <c r="G17" s="4">
        <v>16</v>
      </c>
      <c r="H17" s="4">
        <v>0</v>
      </c>
    </row>
    <row r="18" spans="1:8" x14ac:dyDescent="0.25">
      <c r="A18" s="1">
        <v>17</v>
      </c>
      <c r="B18" s="1" t="s">
        <v>20</v>
      </c>
      <c r="C18" s="1" t="s">
        <v>21</v>
      </c>
      <c r="D18" s="1" t="s">
        <v>59</v>
      </c>
      <c r="E18" s="4">
        <v>16</v>
      </c>
      <c r="F18" s="4">
        <v>6</v>
      </c>
      <c r="G18" s="4">
        <v>19</v>
      </c>
      <c r="H18" s="4">
        <v>0</v>
      </c>
    </row>
    <row r="19" spans="1:8" x14ac:dyDescent="0.25">
      <c r="A19" s="1">
        <v>18</v>
      </c>
      <c r="B19" s="1" t="s">
        <v>42</v>
      </c>
      <c r="C19" s="1" t="s">
        <v>22</v>
      </c>
      <c r="D19" s="1" t="s">
        <v>59</v>
      </c>
      <c r="E19" s="4">
        <v>16</v>
      </c>
      <c r="F19" s="4">
        <v>6</v>
      </c>
      <c r="G19" s="4">
        <v>22</v>
      </c>
      <c r="H19" s="4">
        <v>0</v>
      </c>
    </row>
    <row r="20" spans="1:8" x14ac:dyDescent="0.25">
      <c r="A20" s="1">
        <v>19</v>
      </c>
      <c r="B20" s="1" t="s">
        <v>23</v>
      </c>
      <c r="C20" s="1" t="s">
        <v>24</v>
      </c>
      <c r="D20" s="1" t="s">
        <v>59</v>
      </c>
      <c r="E20" s="4">
        <v>17</v>
      </c>
      <c r="F20" s="4">
        <v>6</v>
      </c>
      <c r="G20" s="4">
        <v>1</v>
      </c>
      <c r="H20" s="4">
        <v>0</v>
      </c>
    </row>
    <row r="21" spans="1:8" x14ac:dyDescent="0.25">
      <c r="A21" s="1">
        <v>20</v>
      </c>
      <c r="B21" s="1" t="s">
        <v>25</v>
      </c>
      <c r="C21" s="1" t="s">
        <v>45</v>
      </c>
      <c r="D21" s="1" t="s">
        <v>59</v>
      </c>
      <c r="E21" s="4">
        <v>17</v>
      </c>
      <c r="F21" s="4">
        <v>6</v>
      </c>
      <c r="G21" s="4">
        <v>14</v>
      </c>
      <c r="H21" s="4">
        <v>0</v>
      </c>
    </row>
    <row r="22" spans="1:8" x14ac:dyDescent="0.25">
      <c r="A22" s="1">
        <v>21</v>
      </c>
      <c r="B22" s="1" t="s">
        <v>26</v>
      </c>
      <c r="C22" s="1" t="s">
        <v>27</v>
      </c>
      <c r="D22" s="1" t="s">
        <v>59</v>
      </c>
      <c r="E22" s="4">
        <v>17</v>
      </c>
      <c r="F22" s="4">
        <v>6</v>
      </c>
      <c r="G22" s="4">
        <v>17</v>
      </c>
      <c r="H22" s="4">
        <v>0</v>
      </c>
    </row>
    <row r="23" spans="1:8" x14ac:dyDescent="0.25">
      <c r="A23" s="1">
        <v>22</v>
      </c>
      <c r="B23" s="1" t="s">
        <v>28</v>
      </c>
      <c r="C23" s="1" t="s">
        <v>44</v>
      </c>
      <c r="D23" s="1" t="s">
        <v>59</v>
      </c>
      <c r="E23" s="4">
        <v>17</v>
      </c>
      <c r="F23" s="4">
        <v>6</v>
      </c>
      <c r="G23" s="4">
        <v>20</v>
      </c>
      <c r="H23" s="4">
        <v>0</v>
      </c>
    </row>
    <row r="24" spans="1:8" x14ac:dyDescent="0.25">
      <c r="A24" s="1">
        <v>23</v>
      </c>
      <c r="B24" s="1" t="s">
        <v>43</v>
      </c>
      <c r="C24" s="1" t="s">
        <v>29</v>
      </c>
      <c r="D24" s="1" t="s">
        <v>59</v>
      </c>
      <c r="E24" s="4">
        <v>17</v>
      </c>
      <c r="F24" s="4">
        <v>6</v>
      </c>
      <c r="G24" s="4">
        <v>23</v>
      </c>
      <c r="H24" s="4">
        <v>0</v>
      </c>
    </row>
    <row r="25" spans="1:8" x14ac:dyDescent="0.25">
      <c r="A25" s="1">
        <v>24</v>
      </c>
      <c r="B25" s="1" t="s">
        <v>78</v>
      </c>
      <c r="C25" s="1" t="s">
        <v>30</v>
      </c>
      <c r="D25" s="1" t="s">
        <v>58</v>
      </c>
      <c r="E25" s="4">
        <v>18</v>
      </c>
      <c r="F25" s="4">
        <v>6</v>
      </c>
      <c r="G25" s="4">
        <v>13</v>
      </c>
      <c r="H25" s="4">
        <v>0</v>
      </c>
    </row>
    <row r="26" spans="1:8" x14ac:dyDescent="0.25">
      <c r="A26" s="1">
        <v>25</v>
      </c>
      <c r="B26" s="1" t="s">
        <v>3</v>
      </c>
      <c r="C26" s="1" t="s">
        <v>0</v>
      </c>
      <c r="D26" s="1" t="s">
        <v>58</v>
      </c>
      <c r="E26" s="4">
        <v>18</v>
      </c>
      <c r="F26" s="4">
        <v>6</v>
      </c>
      <c r="G26" s="4">
        <v>16</v>
      </c>
      <c r="H26" s="4">
        <v>0</v>
      </c>
    </row>
    <row r="27" spans="1:8" x14ac:dyDescent="0.25">
      <c r="A27" s="1">
        <v>26</v>
      </c>
      <c r="B27" s="1" t="s">
        <v>31</v>
      </c>
      <c r="C27" s="1" t="s">
        <v>32</v>
      </c>
      <c r="D27" s="1" t="s">
        <v>58</v>
      </c>
      <c r="E27" s="4">
        <v>18</v>
      </c>
      <c r="F27" s="4">
        <v>6</v>
      </c>
      <c r="G27" s="4">
        <v>19</v>
      </c>
      <c r="H27" s="4">
        <v>0</v>
      </c>
    </row>
    <row r="28" spans="1:8" x14ac:dyDescent="0.25">
      <c r="A28" s="1">
        <v>27</v>
      </c>
      <c r="B28" s="1" t="s">
        <v>33</v>
      </c>
      <c r="C28" s="1" t="s">
        <v>34</v>
      </c>
      <c r="D28" s="1" t="s">
        <v>58</v>
      </c>
      <c r="E28" s="4">
        <v>18</v>
      </c>
      <c r="F28" s="4">
        <v>6</v>
      </c>
      <c r="G28" s="4">
        <v>22</v>
      </c>
      <c r="H28" s="4">
        <v>0</v>
      </c>
    </row>
    <row r="29" spans="1:8" x14ac:dyDescent="0.25">
      <c r="A29" s="1">
        <v>28</v>
      </c>
      <c r="B29" s="1" t="s">
        <v>35</v>
      </c>
      <c r="C29" s="1" t="s">
        <v>7</v>
      </c>
      <c r="D29" s="1" t="s">
        <v>58</v>
      </c>
      <c r="E29" s="4">
        <v>19</v>
      </c>
      <c r="F29" s="4">
        <v>6</v>
      </c>
      <c r="G29" s="4">
        <v>16</v>
      </c>
      <c r="H29" s="4">
        <v>0</v>
      </c>
    </row>
    <row r="30" spans="1:8" x14ac:dyDescent="0.25">
      <c r="A30" s="1">
        <v>29</v>
      </c>
      <c r="B30" s="1" t="s">
        <v>6</v>
      </c>
      <c r="C30" s="1" t="s">
        <v>5</v>
      </c>
      <c r="D30" s="1" t="s">
        <v>58</v>
      </c>
      <c r="E30" s="4">
        <v>19</v>
      </c>
      <c r="F30" s="4">
        <v>6</v>
      </c>
      <c r="G30" s="4">
        <v>19</v>
      </c>
      <c r="H30" s="4">
        <v>0</v>
      </c>
    </row>
    <row r="31" spans="1:8" x14ac:dyDescent="0.25">
      <c r="A31" s="1">
        <v>30</v>
      </c>
      <c r="B31" s="1" t="s">
        <v>4</v>
      </c>
      <c r="C31" s="1" t="s">
        <v>36</v>
      </c>
      <c r="D31" s="1" t="s">
        <v>58</v>
      </c>
      <c r="E31" s="4">
        <v>19</v>
      </c>
      <c r="F31" s="4">
        <v>6</v>
      </c>
      <c r="G31" s="4">
        <v>22</v>
      </c>
      <c r="H31" s="4">
        <v>0</v>
      </c>
    </row>
    <row r="32" spans="1:8" x14ac:dyDescent="0.25">
      <c r="A32" s="1">
        <v>31</v>
      </c>
      <c r="B32" s="1" t="s">
        <v>37</v>
      </c>
      <c r="C32" s="1" t="s">
        <v>1</v>
      </c>
      <c r="D32" s="1" t="s">
        <v>58</v>
      </c>
      <c r="E32" s="4">
        <v>20</v>
      </c>
      <c r="F32" s="4">
        <v>6</v>
      </c>
      <c r="G32" s="4">
        <v>1</v>
      </c>
      <c r="H32" s="4">
        <v>0</v>
      </c>
    </row>
    <row r="33" spans="1:8" x14ac:dyDescent="0.25">
      <c r="A33" s="1">
        <v>32</v>
      </c>
      <c r="B33" s="1" t="s">
        <v>10</v>
      </c>
      <c r="C33" s="1" t="s">
        <v>12</v>
      </c>
      <c r="D33" s="1" t="s">
        <v>58</v>
      </c>
      <c r="E33" s="4">
        <v>20</v>
      </c>
      <c r="F33" s="4">
        <v>6</v>
      </c>
      <c r="G33" s="4">
        <v>14</v>
      </c>
      <c r="H33" s="4">
        <v>0</v>
      </c>
    </row>
    <row r="34" spans="1:8" x14ac:dyDescent="0.25">
      <c r="A34" s="1">
        <v>33</v>
      </c>
      <c r="B34" s="1" t="s">
        <v>8</v>
      </c>
      <c r="C34" s="1" t="s">
        <v>38</v>
      </c>
      <c r="D34" s="1" t="s">
        <v>58</v>
      </c>
      <c r="E34" s="4">
        <v>20</v>
      </c>
      <c r="F34" s="4">
        <v>6</v>
      </c>
      <c r="G34" s="4">
        <v>17</v>
      </c>
      <c r="H34" s="4">
        <v>0</v>
      </c>
    </row>
    <row r="35" spans="1:8" x14ac:dyDescent="0.25">
      <c r="A35" s="1">
        <v>34</v>
      </c>
      <c r="B35" s="1" t="s">
        <v>11</v>
      </c>
      <c r="C35" s="1" t="s">
        <v>9</v>
      </c>
      <c r="D35" s="1" t="s">
        <v>58</v>
      </c>
      <c r="E35" s="4">
        <v>20</v>
      </c>
      <c r="F35" s="4">
        <v>6</v>
      </c>
      <c r="G35" s="4">
        <v>21</v>
      </c>
      <c r="H35" s="4">
        <v>0</v>
      </c>
    </row>
    <row r="36" spans="1:8" x14ac:dyDescent="0.25">
      <c r="A36" s="1">
        <v>35</v>
      </c>
      <c r="B36" s="1" t="s">
        <v>77</v>
      </c>
      <c r="C36" s="1" t="s">
        <v>47</v>
      </c>
      <c r="D36" s="1" t="s">
        <v>58</v>
      </c>
      <c r="E36" s="4">
        <v>21</v>
      </c>
      <c r="F36" s="4">
        <v>6</v>
      </c>
      <c r="G36" s="4">
        <v>1</v>
      </c>
      <c r="H36" s="4">
        <v>0</v>
      </c>
    </row>
    <row r="37" spans="1:8" x14ac:dyDescent="0.25">
      <c r="A37" s="1">
        <v>36</v>
      </c>
      <c r="B37" s="1" t="s">
        <v>13</v>
      </c>
      <c r="C37" s="1" t="s">
        <v>39</v>
      </c>
      <c r="D37" s="1" t="s">
        <v>58</v>
      </c>
      <c r="E37" s="4">
        <v>21</v>
      </c>
      <c r="F37" s="4">
        <v>6</v>
      </c>
      <c r="G37" s="4">
        <v>13</v>
      </c>
      <c r="H37" s="4">
        <v>0</v>
      </c>
    </row>
    <row r="38" spans="1:8" x14ac:dyDescent="0.25">
      <c r="A38" s="1">
        <v>37</v>
      </c>
      <c r="B38" s="1" t="s">
        <v>40</v>
      </c>
      <c r="C38" s="1" t="s">
        <v>41</v>
      </c>
      <c r="D38" s="1" t="s">
        <v>58</v>
      </c>
      <c r="E38" s="4">
        <v>21</v>
      </c>
      <c r="F38" s="4">
        <v>6</v>
      </c>
      <c r="G38" s="4">
        <v>16</v>
      </c>
      <c r="H38" s="4">
        <v>0</v>
      </c>
    </row>
    <row r="39" spans="1:8" x14ac:dyDescent="0.25">
      <c r="A39" s="1">
        <v>38</v>
      </c>
      <c r="B39" s="1" t="s">
        <v>16</v>
      </c>
      <c r="C39" s="1" t="s">
        <v>14</v>
      </c>
      <c r="D39" s="1" t="s">
        <v>58</v>
      </c>
      <c r="E39" s="4">
        <v>21</v>
      </c>
      <c r="F39" s="4">
        <v>6</v>
      </c>
      <c r="G39" s="4">
        <v>19</v>
      </c>
      <c r="H39" s="4">
        <v>0</v>
      </c>
    </row>
    <row r="40" spans="1:8" x14ac:dyDescent="0.25">
      <c r="A40" s="1">
        <v>39</v>
      </c>
      <c r="B40" s="1" t="s">
        <v>17</v>
      </c>
      <c r="C40" s="1" t="s">
        <v>15</v>
      </c>
      <c r="D40" s="1" t="s">
        <v>58</v>
      </c>
      <c r="E40" s="4">
        <v>21</v>
      </c>
      <c r="F40" s="4">
        <v>6</v>
      </c>
      <c r="G40" s="4">
        <v>22</v>
      </c>
      <c r="H40" s="4">
        <v>0</v>
      </c>
    </row>
    <row r="41" spans="1:8" x14ac:dyDescent="0.25">
      <c r="A41" s="1">
        <v>40</v>
      </c>
      <c r="B41" s="1" t="s">
        <v>42</v>
      </c>
      <c r="C41" s="1" t="s">
        <v>23</v>
      </c>
      <c r="D41" s="1" t="s">
        <v>58</v>
      </c>
      <c r="E41" s="4">
        <v>22</v>
      </c>
      <c r="F41" s="4">
        <v>6</v>
      </c>
      <c r="G41" s="4">
        <v>14</v>
      </c>
      <c r="H41" s="4">
        <v>0</v>
      </c>
    </row>
    <row r="42" spans="1:8" x14ac:dyDescent="0.25">
      <c r="A42" s="1">
        <v>41</v>
      </c>
      <c r="B42" s="1" t="s">
        <v>18</v>
      </c>
      <c r="C42" s="1" t="s">
        <v>20</v>
      </c>
      <c r="D42" s="1" t="s">
        <v>58</v>
      </c>
      <c r="E42" s="4">
        <v>22</v>
      </c>
      <c r="F42" s="4">
        <v>6</v>
      </c>
      <c r="G42" s="4">
        <v>18</v>
      </c>
      <c r="H42" s="4">
        <v>0</v>
      </c>
    </row>
    <row r="43" spans="1:8" x14ac:dyDescent="0.25">
      <c r="A43" s="1">
        <v>42</v>
      </c>
      <c r="B43" s="1" t="s">
        <v>21</v>
      </c>
      <c r="C43" s="1" t="s">
        <v>19</v>
      </c>
      <c r="D43" s="1" t="s">
        <v>58</v>
      </c>
      <c r="E43" s="4">
        <v>22</v>
      </c>
      <c r="F43" s="4">
        <v>6</v>
      </c>
      <c r="G43" s="4">
        <v>21</v>
      </c>
      <c r="H43" s="4">
        <v>0</v>
      </c>
    </row>
    <row r="44" spans="1:8" x14ac:dyDescent="0.25">
      <c r="A44" s="1">
        <v>43</v>
      </c>
      <c r="B44" s="1" t="s">
        <v>24</v>
      </c>
      <c r="C44" s="1" t="s">
        <v>22</v>
      </c>
      <c r="D44" s="1" t="s">
        <v>58</v>
      </c>
      <c r="E44" s="4">
        <v>23</v>
      </c>
      <c r="F44" s="4">
        <v>6</v>
      </c>
      <c r="G44" s="4">
        <v>0</v>
      </c>
      <c r="H44" s="4">
        <v>0</v>
      </c>
    </row>
    <row r="45" spans="1:8" x14ac:dyDescent="0.25">
      <c r="A45" s="1">
        <v>44</v>
      </c>
      <c r="B45" s="1" t="s">
        <v>25</v>
      </c>
      <c r="C45" s="1" t="s">
        <v>43</v>
      </c>
      <c r="D45" s="1" t="s">
        <v>58</v>
      </c>
      <c r="E45" s="4">
        <v>23</v>
      </c>
      <c r="F45" s="4">
        <v>6</v>
      </c>
      <c r="G45" s="4">
        <v>14</v>
      </c>
      <c r="H45" s="4">
        <v>0</v>
      </c>
    </row>
    <row r="46" spans="1:8" x14ac:dyDescent="0.25">
      <c r="A46" s="1">
        <v>45</v>
      </c>
      <c r="B46" s="1" t="s">
        <v>26</v>
      </c>
      <c r="C46" s="1" t="s">
        <v>28</v>
      </c>
      <c r="D46" s="1" t="s">
        <v>58</v>
      </c>
      <c r="E46" s="4">
        <v>23</v>
      </c>
      <c r="F46" s="4">
        <v>6</v>
      </c>
      <c r="G46" s="4">
        <v>17</v>
      </c>
      <c r="H46" s="4">
        <v>0</v>
      </c>
    </row>
    <row r="47" spans="1:8" x14ac:dyDescent="0.25">
      <c r="A47" s="1">
        <v>46</v>
      </c>
      <c r="B47" s="1" t="s">
        <v>44</v>
      </c>
      <c r="C47" s="1" t="s">
        <v>27</v>
      </c>
      <c r="D47" s="1" t="s">
        <v>58</v>
      </c>
      <c r="E47" s="4">
        <v>23</v>
      </c>
      <c r="F47" s="4">
        <v>6</v>
      </c>
      <c r="G47" s="4">
        <v>20</v>
      </c>
      <c r="H47" s="4">
        <v>0</v>
      </c>
    </row>
    <row r="48" spans="1:8" x14ac:dyDescent="0.25">
      <c r="A48" s="1">
        <v>47</v>
      </c>
      <c r="B48" s="1" t="s">
        <v>29</v>
      </c>
      <c r="C48" s="1" t="s">
        <v>45</v>
      </c>
      <c r="D48" s="1" t="s">
        <v>58</v>
      </c>
      <c r="E48" s="4">
        <v>23</v>
      </c>
      <c r="F48" s="4">
        <v>6</v>
      </c>
      <c r="G48" s="4">
        <v>23</v>
      </c>
      <c r="H48" s="4">
        <v>0</v>
      </c>
    </row>
    <row r="49" spans="1:8" x14ac:dyDescent="0.25">
      <c r="A49" s="1">
        <v>48</v>
      </c>
      <c r="B49" s="1" t="s">
        <v>0</v>
      </c>
      <c r="C49" s="1" t="s">
        <v>32</v>
      </c>
      <c r="D49" s="1" t="s">
        <v>57</v>
      </c>
      <c r="E49" s="4">
        <v>24</v>
      </c>
      <c r="F49" s="4">
        <v>6</v>
      </c>
      <c r="G49" s="4">
        <v>16</v>
      </c>
      <c r="H49" s="4">
        <v>0</v>
      </c>
    </row>
    <row r="50" spans="1:8" x14ac:dyDescent="0.25">
      <c r="A50" s="1">
        <v>49</v>
      </c>
      <c r="B50" s="1" t="s">
        <v>3</v>
      </c>
      <c r="C50" s="1" t="s">
        <v>31</v>
      </c>
      <c r="D50" s="1" t="s">
        <v>57</v>
      </c>
      <c r="E50" s="4">
        <v>24</v>
      </c>
      <c r="F50" s="4">
        <v>6</v>
      </c>
      <c r="G50" s="4">
        <v>16</v>
      </c>
      <c r="H50" s="4">
        <v>0</v>
      </c>
    </row>
    <row r="51" spans="1:8" x14ac:dyDescent="0.25">
      <c r="A51" s="1">
        <v>50</v>
      </c>
      <c r="B51" s="1" t="s">
        <v>5</v>
      </c>
      <c r="C51" s="1" t="s">
        <v>36</v>
      </c>
      <c r="D51" s="1" t="s">
        <v>57</v>
      </c>
      <c r="E51" s="4">
        <v>24</v>
      </c>
      <c r="F51" s="4">
        <v>6</v>
      </c>
      <c r="G51" s="4">
        <v>19</v>
      </c>
      <c r="H51" s="4">
        <v>0</v>
      </c>
    </row>
    <row r="52" spans="1:8" x14ac:dyDescent="0.25">
      <c r="A52" s="1">
        <v>51</v>
      </c>
      <c r="B52" s="1" t="s">
        <v>6</v>
      </c>
      <c r="C52" s="1" t="s">
        <v>4</v>
      </c>
      <c r="D52" s="1" t="s">
        <v>57</v>
      </c>
      <c r="E52" s="4">
        <v>24</v>
      </c>
      <c r="F52" s="4">
        <v>6</v>
      </c>
      <c r="G52" s="4">
        <v>19</v>
      </c>
      <c r="H52" s="4">
        <v>0</v>
      </c>
    </row>
    <row r="53" spans="1:8" x14ac:dyDescent="0.25">
      <c r="A53" s="1">
        <v>52</v>
      </c>
      <c r="B53" s="1" t="s">
        <v>30</v>
      </c>
      <c r="C53" s="1" t="s">
        <v>34</v>
      </c>
      <c r="D53" s="1" t="s">
        <v>57</v>
      </c>
      <c r="E53" s="4">
        <v>24</v>
      </c>
      <c r="F53" s="4">
        <v>6</v>
      </c>
      <c r="G53" s="4">
        <v>22</v>
      </c>
      <c r="H53" s="4">
        <v>0</v>
      </c>
    </row>
    <row r="54" spans="1:8" x14ac:dyDescent="0.25">
      <c r="A54" s="1">
        <v>53</v>
      </c>
      <c r="B54" s="1" t="s">
        <v>46</v>
      </c>
      <c r="C54" s="1" t="s">
        <v>33</v>
      </c>
      <c r="D54" s="1" t="s">
        <v>57</v>
      </c>
      <c r="E54" s="4">
        <v>24</v>
      </c>
      <c r="F54" s="4">
        <v>6</v>
      </c>
      <c r="G54" s="4">
        <v>22</v>
      </c>
      <c r="H54" s="4">
        <v>0</v>
      </c>
    </row>
    <row r="55" spans="1:8" x14ac:dyDescent="0.25">
      <c r="A55" s="1">
        <v>54</v>
      </c>
      <c r="B55" s="1" t="s">
        <v>9</v>
      </c>
      <c r="C55" s="1" t="s">
        <v>38</v>
      </c>
      <c r="D55" s="1" t="s">
        <v>57</v>
      </c>
      <c r="E55" s="4">
        <v>25</v>
      </c>
      <c r="F55" s="4">
        <v>6</v>
      </c>
      <c r="G55" s="4">
        <v>17</v>
      </c>
      <c r="H55" s="4">
        <v>0</v>
      </c>
    </row>
    <row r="56" spans="1:8" x14ac:dyDescent="0.25">
      <c r="A56" s="1">
        <v>55</v>
      </c>
      <c r="B56" s="1" t="s">
        <v>11</v>
      </c>
      <c r="C56" s="1" t="s">
        <v>8</v>
      </c>
      <c r="D56" s="1" t="s">
        <v>57</v>
      </c>
      <c r="E56" s="4">
        <v>25</v>
      </c>
      <c r="F56" s="4">
        <v>6</v>
      </c>
      <c r="G56" s="4">
        <v>17</v>
      </c>
      <c r="H56" s="4">
        <v>0</v>
      </c>
    </row>
    <row r="57" spans="1:8" x14ac:dyDescent="0.25">
      <c r="A57" s="1">
        <v>56</v>
      </c>
      <c r="B57" s="1" t="s">
        <v>77</v>
      </c>
      <c r="C57" s="1" t="s">
        <v>10</v>
      </c>
      <c r="D57" s="1" t="s">
        <v>57</v>
      </c>
      <c r="E57" s="4">
        <v>25</v>
      </c>
      <c r="F57" s="4">
        <v>6</v>
      </c>
      <c r="G57" s="4">
        <v>20</v>
      </c>
      <c r="H57" s="4">
        <v>0</v>
      </c>
    </row>
    <row r="58" spans="1:8" x14ac:dyDescent="0.25">
      <c r="A58" s="1">
        <v>57</v>
      </c>
      <c r="B58" s="1" t="s">
        <v>47</v>
      </c>
      <c r="C58" s="1" t="s">
        <v>12</v>
      </c>
      <c r="D58" s="1" t="s">
        <v>57</v>
      </c>
      <c r="E58" s="4">
        <v>25</v>
      </c>
      <c r="F58" s="4">
        <v>6</v>
      </c>
      <c r="G58" s="4">
        <v>20</v>
      </c>
      <c r="H58" s="4">
        <v>0</v>
      </c>
    </row>
    <row r="59" spans="1:8" x14ac:dyDescent="0.25">
      <c r="A59" s="1">
        <v>58</v>
      </c>
      <c r="B59" s="1" t="s">
        <v>1</v>
      </c>
      <c r="C59" s="1" t="s">
        <v>7</v>
      </c>
      <c r="D59" s="1" t="s">
        <v>57</v>
      </c>
      <c r="E59" s="4">
        <v>25</v>
      </c>
      <c r="F59" s="4">
        <v>6</v>
      </c>
      <c r="G59" s="4">
        <v>23</v>
      </c>
      <c r="H59" s="4">
        <v>0</v>
      </c>
    </row>
    <row r="60" spans="1:8" x14ac:dyDescent="0.25">
      <c r="A60" s="1">
        <v>59</v>
      </c>
      <c r="B60" s="1" t="s">
        <v>37</v>
      </c>
      <c r="C60" s="1" t="s">
        <v>35</v>
      </c>
      <c r="D60" s="1" t="s">
        <v>57</v>
      </c>
      <c r="E60" s="4">
        <v>25</v>
      </c>
      <c r="F60" s="4">
        <v>6</v>
      </c>
      <c r="G60" s="4">
        <v>23</v>
      </c>
      <c r="H60" s="4">
        <v>0</v>
      </c>
    </row>
    <row r="61" spans="1:8" x14ac:dyDescent="0.25">
      <c r="A61" s="1">
        <v>60</v>
      </c>
      <c r="B61" s="1" t="s">
        <v>19</v>
      </c>
      <c r="C61" s="1" t="s">
        <v>20</v>
      </c>
      <c r="D61" s="1" t="s">
        <v>57</v>
      </c>
      <c r="E61" s="4">
        <v>26</v>
      </c>
      <c r="F61" s="4">
        <v>6</v>
      </c>
      <c r="G61" s="4">
        <v>16</v>
      </c>
      <c r="H61" s="4">
        <v>0</v>
      </c>
    </row>
    <row r="62" spans="1:8" x14ac:dyDescent="0.25">
      <c r="A62" s="1">
        <v>61</v>
      </c>
      <c r="B62" s="1" t="s">
        <v>21</v>
      </c>
      <c r="C62" s="1" t="s">
        <v>18</v>
      </c>
      <c r="D62" s="1" t="s">
        <v>57</v>
      </c>
      <c r="E62" s="4">
        <v>26</v>
      </c>
      <c r="F62" s="4">
        <v>6</v>
      </c>
      <c r="G62" s="4">
        <v>16</v>
      </c>
      <c r="H62" s="4">
        <v>0</v>
      </c>
    </row>
    <row r="63" spans="1:8" x14ac:dyDescent="0.25">
      <c r="A63" s="1">
        <v>62</v>
      </c>
      <c r="B63" s="1" t="s">
        <v>16</v>
      </c>
      <c r="C63" s="1" t="s">
        <v>13</v>
      </c>
      <c r="D63" s="1" t="s">
        <v>57</v>
      </c>
      <c r="E63" s="4">
        <v>26</v>
      </c>
      <c r="F63" s="4">
        <v>6</v>
      </c>
      <c r="G63" s="4">
        <v>21</v>
      </c>
      <c r="H63" s="4">
        <v>0</v>
      </c>
    </row>
    <row r="64" spans="1:8" x14ac:dyDescent="0.25">
      <c r="A64" s="1">
        <v>63</v>
      </c>
      <c r="B64" s="1" t="s">
        <v>14</v>
      </c>
      <c r="C64" s="1" t="s">
        <v>39</v>
      </c>
      <c r="D64" s="1" t="s">
        <v>57</v>
      </c>
      <c r="E64" s="4">
        <v>26</v>
      </c>
      <c r="F64" s="4">
        <v>6</v>
      </c>
      <c r="G64" s="4">
        <v>21</v>
      </c>
      <c r="H64" s="4">
        <v>0</v>
      </c>
    </row>
    <row r="65" spans="1:8" x14ac:dyDescent="0.25">
      <c r="A65" s="1">
        <v>64</v>
      </c>
      <c r="B65" s="1" t="s">
        <v>15</v>
      </c>
      <c r="C65" s="1" t="s">
        <v>41</v>
      </c>
      <c r="D65" s="1" t="s">
        <v>57</v>
      </c>
      <c r="E65" s="4">
        <v>27</v>
      </c>
      <c r="F65" s="4">
        <v>6</v>
      </c>
      <c r="G65" s="4">
        <v>0</v>
      </c>
      <c r="H65" s="4">
        <v>0</v>
      </c>
    </row>
    <row r="66" spans="1:8" x14ac:dyDescent="0.25">
      <c r="A66" s="1">
        <v>65</v>
      </c>
      <c r="B66" s="1" t="s">
        <v>17</v>
      </c>
      <c r="C66" s="1" t="s">
        <v>40</v>
      </c>
      <c r="D66" s="1" t="s">
        <v>57</v>
      </c>
      <c r="E66" s="4">
        <v>27</v>
      </c>
      <c r="F66" s="4">
        <v>6</v>
      </c>
      <c r="G66" s="4">
        <v>0</v>
      </c>
      <c r="H66" s="4">
        <v>0</v>
      </c>
    </row>
    <row r="67" spans="1:8" x14ac:dyDescent="0.25">
      <c r="A67" s="1">
        <v>66</v>
      </c>
      <c r="B67" s="1" t="s">
        <v>44</v>
      </c>
      <c r="C67" s="1" t="s">
        <v>26</v>
      </c>
      <c r="D67" s="1" t="s">
        <v>57</v>
      </c>
      <c r="E67" s="4">
        <v>27</v>
      </c>
      <c r="F67" s="4">
        <v>6</v>
      </c>
      <c r="G67" s="4">
        <v>18</v>
      </c>
      <c r="H67" s="4">
        <v>0</v>
      </c>
    </row>
    <row r="68" spans="1:8" x14ac:dyDescent="0.25">
      <c r="A68" s="1">
        <v>67</v>
      </c>
      <c r="B68" s="1" t="s">
        <v>27</v>
      </c>
      <c r="C68" s="1" t="s">
        <v>28</v>
      </c>
      <c r="D68" s="1" t="s">
        <v>57</v>
      </c>
      <c r="E68" s="4">
        <v>27</v>
      </c>
      <c r="F68" s="4">
        <v>6</v>
      </c>
      <c r="G68" s="4">
        <v>18</v>
      </c>
      <c r="H68" s="4">
        <v>0</v>
      </c>
    </row>
    <row r="69" spans="1:8" x14ac:dyDescent="0.25">
      <c r="A69" s="1">
        <v>68</v>
      </c>
      <c r="B69" s="1" t="s">
        <v>45</v>
      </c>
      <c r="C69" s="1" t="s">
        <v>43</v>
      </c>
      <c r="D69" s="1" t="s">
        <v>57</v>
      </c>
      <c r="E69" s="4">
        <v>27</v>
      </c>
      <c r="F69" s="4">
        <v>6</v>
      </c>
      <c r="G69" s="4">
        <v>20</v>
      </c>
      <c r="H69" s="4">
        <v>30</v>
      </c>
    </row>
    <row r="70" spans="1:8" x14ac:dyDescent="0.25">
      <c r="A70" s="1">
        <v>69</v>
      </c>
      <c r="B70" s="1" t="s">
        <v>29</v>
      </c>
      <c r="C70" s="1" t="s">
        <v>25</v>
      </c>
      <c r="D70" s="1" t="s">
        <v>57</v>
      </c>
      <c r="E70" s="4">
        <v>27</v>
      </c>
      <c r="F70" s="4">
        <v>6</v>
      </c>
      <c r="G70" s="4">
        <v>20</v>
      </c>
      <c r="H70" s="4">
        <v>30</v>
      </c>
    </row>
    <row r="71" spans="1:8" x14ac:dyDescent="0.25">
      <c r="A71" s="1">
        <v>70</v>
      </c>
      <c r="B71" s="1" t="s">
        <v>22</v>
      </c>
      <c r="C71" s="1" t="s">
        <v>23</v>
      </c>
      <c r="D71" s="1" t="s">
        <v>57</v>
      </c>
      <c r="E71" s="4">
        <v>27</v>
      </c>
      <c r="F71" s="4">
        <v>6</v>
      </c>
      <c r="G71" s="4">
        <v>23</v>
      </c>
      <c r="H71" s="4">
        <v>0</v>
      </c>
    </row>
    <row r="72" spans="1:8" x14ac:dyDescent="0.25">
      <c r="A72" s="1">
        <v>71</v>
      </c>
      <c r="B72" s="1" t="s">
        <v>42</v>
      </c>
      <c r="C72" s="1" t="s">
        <v>24</v>
      </c>
      <c r="D72" s="1" t="s">
        <v>57</v>
      </c>
      <c r="E72" s="4">
        <v>27</v>
      </c>
      <c r="F72" s="4">
        <v>6</v>
      </c>
      <c r="G72" s="4">
        <v>23</v>
      </c>
      <c r="H72" s="4">
        <v>0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CB5312-0F1D-46EE-A07A-048A6A6D6323}">
  <dimension ref="A1:O3"/>
  <sheetViews>
    <sheetView workbookViewId="0">
      <selection sqref="A1:XFD1"/>
    </sheetView>
  </sheetViews>
  <sheetFormatPr baseColWidth="10" defaultRowHeight="15" x14ac:dyDescent="0.25"/>
  <cols>
    <col min="1" max="1" width="11.42578125" style="1"/>
    <col min="2" max="2" width="14.140625" style="1" bestFit="1" customWidth="1"/>
    <col min="3" max="3" width="14.28515625" style="1" bestFit="1" customWidth="1"/>
    <col min="4" max="9" width="6.5703125" style="1" customWidth="1"/>
    <col min="10" max="11" width="5.42578125" style="1" bestFit="1" customWidth="1"/>
    <col min="12" max="16384" width="11.42578125" style="1"/>
  </cols>
  <sheetData>
    <row r="1" spans="1:15" x14ac:dyDescent="0.25">
      <c r="A1" s="8" t="s">
        <v>56</v>
      </c>
      <c r="B1" s="8" t="s">
        <v>48</v>
      </c>
      <c r="C1" s="8" t="s">
        <v>49</v>
      </c>
      <c r="D1" s="9" t="s">
        <v>132</v>
      </c>
      <c r="E1" s="9" t="s">
        <v>133</v>
      </c>
      <c r="F1" s="13" t="s">
        <v>134</v>
      </c>
      <c r="G1" s="13" t="s">
        <v>63</v>
      </c>
      <c r="H1" s="17" t="s">
        <v>65</v>
      </c>
      <c r="I1" s="17" t="s">
        <v>64</v>
      </c>
      <c r="J1" s="9" t="s">
        <v>50</v>
      </c>
      <c r="K1" s="13" t="s">
        <v>51</v>
      </c>
      <c r="L1" s="9" t="s">
        <v>67</v>
      </c>
      <c r="M1" s="9" t="s">
        <v>66</v>
      </c>
      <c r="N1" s="13" t="s">
        <v>68</v>
      </c>
      <c r="O1" s="13" t="s">
        <v>69</v>
      </c>
    </row>
    <row r="2" spans="1:15" x14ac:dyDescent="0.25">
      <c r="A2" s="7">
        <v>102</v>
      </c>
      <c r="B2" s="7"/>
      <c r="C2" s="7"/>
      <c r="D2" s="10"/>
      <c r="E2" s="10"/>
      <c r="F2" s="14"/>
      <c r="G2" s="14"/>
      <c r="H2" s="18"/>
      <c r="I2" s="18"/>
      <c r="J2" s="10" t="str">
        <f>IF(OR(H2="",I2=""),"",IF(AND(D2=H2,E2=I2),3,IF(OR(AND(D2&gt; E2,H2&gt;I2),AND(D2= E2,H2=I2),AND(D2&lt; E2,H2&lt;I2)),1,0)))</f>
        <v/>
      </c>
      <c r="K2" s="14" t="str">
        <f>IF(OR(H2="",I2=""),"",IF(AND(F2=H2,G2=I2),3,IF(OR(AND(F2&gt; G2,H2&gt;I2),AND(F2= G2,H2=I2),AND(F2&lt; G2,H2&lt;I2)),1,0)))</f>
        <v/>
      </c>
      <c r="L2" s="10"/>
      <c r="M2" s="10"/>
      <c r="N2" s="14"/>
      <c r="O2" s="14"/>
    </row>
    <row r="3" spans="1:15" x14ac:dyDescent="0.25">
      <c r="A3" s="6">
        <v>103</v>
      </c>
      <c r="B3" s="6"/>
      <c r="C3" s="6"/>
      <c r="D3" s="12"/>
      <c r="E3" s="12"/>
      <c r="F3" s="16"/>
      <c r="G3" s="16"/>
      <c r="H3" s="20"/>
      <c r="I3" s="20"/>
      <c r="J3" s="12" t="str">
        <f t="shared" ref="J3" si="0">IF(OR(H3="",I3=""),"",IF(AND(D3=H3,E3=I3),3,IF(OR(AND(D3&gt; E3,H3&gt;I3),AND(D3= E3,H3=I3),AND(D3&lt; E3,H3&lt;I3)),1,0)))</f>
        <v/>
      </c>
      <c r="K3" s="16" t="str">
        <f t="shared" ref="K3" si="1">IF(OR(H3="",I3=""),"",IF(AND(F3=H3,G3=I3),3,IF(OR(AND(F3&gt; G3,H3&gt;I3),AND(F3= G3,H3=I3),AND(F3&lt; G3,H3&lt;I3)),1,0)))</f>
        <v/>
      </c>
      <c r="L3" s="12"/>
      <c r="M3" s="12"/>
      <c r="N3" s="16"/>
      <c r="O3" s="16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80DEB2-05AE-43AE-8C11-69FAA3739443}">
  <dimension ref="A1:O3"/>
  <sheetViews>
    <sheetView workbookViewId="0">
      <selection activeCell="J16" sqref="J16"/>
    </sheetView>
  </sheetViews>
  <sheetFormatPr baseColWidth="10" defaultRowHeight="15" x14ac:dyDescent="0.25"/>
  <cols>
    <col min="1" max="1" width="11.42578125" style="1"/>
    <col min="2" max="2" width="14.140625" style="1" bestFit="1" customWidth="1"/>
    <col min="3" max="3" width="14.28515625" style="1" bestFit="1" customWidth="1"/>
    <col min="4" max="9" width="6.5703125" style="1" customWidth="1"/>
    <col min="10" max="11" width="5.42578125" style="1" bestFit="1" customWidth="1"/>
    <col min="12" max="16384" width="11.42578125" style="1"/>
  </cols>
  <sheetData>
    <row r="1" spans="1:15" x14ac:dyDescent="0.25">
      <c r="A1" s="8" t="s">
        <v>56</v>
      </c>
      <c r="B1" s="8" t="s">
        <v>48</v>
      </c>
      <c r="C1" s="8" t="s">
        <v>49</v>
      </c>
      <c r="D1" s="9" t="s">
        <v>132</v>
      </c>
      <c r="E1" s="9" t="s">
        <v>133</v>
      </c>
      <c r="F1" s="13" t="s">
        <v>134</v>
      </c>
      <c r="G1" s="13" t="s">
        <v>63</v>
      </c>
      <c r="H1" s="17" t="s">
        <v>135</v>
      </c>
      <c r="I1" s="17" t="s">
        <v>136</v>
      </c>
      <c r="J1" s="9" t="s">
        <v>50</v>
      </c>
      <c r="K1" s="13" t="s">
        <v>51</v>
      </c>
      <c r="L1" s="9" t="s">
        <v>67</v>
      </c>
      <c r="M1" s="9" t="s">
        <v>66</v>
      </c>
      <c r="N1" s="13" t="s">
        <v>68</v>
      </c>
      <c r="O1" s="13" t="s">
        <v>69</v>
      </c>
    </row>
    <row r="2" spans="1:15" x14ac:dyDescent="0.25">
      <c r="A2" s="7">
        <v>100</v>
      </c>
      <c r="B2" s="7"/>
      <c r="C2" s="7"/>
      <c r="D2" s="10"/>
      <c r="E2" s="10"/>
      <c r="F2" s="14"/>
      <c r="G2" s="14"/>
      <c r="H2" s="18"/>
      <c r="I2" s="18"/>
      <c r="J2" s="10" t="str">
        <f>IF(OR(H2="",I2=""),"",IF(AND(D2=H2,E2=I2),3,IF(OR(AND(D2&gt; E2,H2&gt;I2),AND(D2= E2,H2=I2),AND(D2&lt; E2,H2&lt;I2)),1,0)))</f>
        <v/>
      </c>
      <c r="K2" s="14" t="str">
        <f>IF(OR(H2="",I2=""),"",IF(AND(F2=H2,G2=I2),3,IF(OR(AND(F2&gt; G2,H2&gt;I2),AND(F2= G2,H2=I2),AND(F2&lt; G2,H2&lt;I2)),1,0)))</f>
        <v/>
      </c>
      <c r="L2" s="10"/>
      <c r="M2" s="10"/>
      <c r="N2" s="14"/>
      <c r="O2" s="14"/>
    </row>
    <row r="3" spans="1:15" x14ac:dyDescent="0.25">
      <c r="A3" s="6">
        <v>101</v>
      </c>
      <c r="B3" s="6"/>
      <c r="C3" s="6"/>
      <c r="D3" s="12"/>
      <c r="E3" s="12"/>
      <c r="F3" s="16"/>
      <c r="G3" s="16"/>
      <c r="H3" s="20"/>
      <c r="I3" s="20"/>
      <c r="J3" s="12" t="str">
        <f t="shared" ref="J3" si="0">IF(OR(H3="",I3=""),"",IF(AND(D3=H3,E3=I3),3,IF(OR(AND(D3&gt; E3,H3&gt;I3),AND(D3= E3,H3=I3),AND(D3&lt; E3,H3&lt;I3)),1,0)))</f>
        <v/>
      </c>
      <c r="K3" s="16" t="str">
        <f t="shared" ref="K3" si="1">IF(OR(H3="",I3=""),"",IF(AND(F3=H3,G3=I3),3,IF(OR(AND(F3&gt; G3,H3&gt;I3),AND(F3= G3,H3=I3),AND(F3&lt; G3,H3&lt;I3)),1,0)))</f>
        <v/>
      </c>
      <c r="L3" s="12"/>
      <c r="M3" s="12"/>
      <c r="N3" s="16"/>
      <c r="O3" s="16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0A382A-79BC-4F25-AE39-3D1EB4E9C4C8}">
  <dimension ref="A1:O5"/>
  <sheetViews>
    <sheetView workbookViewId="0">
      <selection sqref="A1:XFD1"/>
    </sheetView>
  </sheetViews>
  <sheetFormatPr baseColWidth="10" defaultRowHeight="15" x14ac:dyDescent="0.25"/>
  <cols>
    <col min="1" max="1" width="11.42578125" style="1"/>
    <col min="2" max="2" width="14.140625" style="1" bestFit="1" customWidth="1"/>
    <col min="3" max="3" width="14.28515625" style="1" bestFit="1" customWidth="1"/>
    <col min="4" max="9" width="6.5703125" style="1" customWidth="1"/>
    <col min="10" max="11" width="5.42578125" style="1" bestFit="1" customWidth="1"/>
    <col min="12" max="16384" width="11.42578125" style="1"/>
  </cols>
  <sheetData>
    <row r="1" spans="1:15" x14ac:dyDescent="0.25">
      <c r="A1" s="8" t="s">
        <v>56</v>
      </c>
      <c r="B1" s="8" t="s">
        <v>48</v>
      </c>
      <c r="C1" s="8" t="s">
        <v>49</v>
      </c>
      <c r="D1" s="9" t="s">
        <v>132</v>
      </c>
      <c r="E1" s="9" t="s">
        <v>133</v>
      </c>
      <c r="F1" s="13" t="s">
        <v>134</v>
      </c>
      <c r="G1" s="13" t="s">
        <v>63</v>
      </c>
      <c r="H1" s="17" t="s">
        <v>135</v>
      </c>
      <c r="I1" s="17" t="s">
        <v>136</v>
      </c>
      <c r="J1" s="9" t="s">
        <v>50</v>
      </c>
      <c r="K1" s="13" t="s">
        <v>51</v>
      </c>
      <c r="L1" s="9" t="s">
        <v>67</v>
      </c>
      <c r="M1" s="9" t="s">
        <v>66</v>
      </c>
      <c r="N1" s="13" t="s">
        <v>68</v>
      </c>
      <c r="O1" s="13" t="s">
        <v>69</v>
      </c>
    </row>
    <row r="2" spans="1:15" x14ac:dyDescent="0.25">
      <c r="A2" s="7">
        <v>96</v>
      </c>
      <c r="B2" s="7"/>
      <c r="C2" s="7"/>
      <c r="D2" s="10"/>
      <c r="E2" s="10"/>
      <c r="F2" s="14"/>
      <c r="G2" s="14"/>
      <c r="H2" s="18"/>
      <c r="I2" s="18"/>
      <c r="J2" s="10" t="str">
        <f>IF(OR(H2="",I2=""),"",IF(AND(D2=H2,E2=I2),3,IF(OR(AND(D2&gt; E2,H2&gt;I2),AND(D2= E2,H2=I2),AND(D2&lt; E2,H2&lt;I2)),1,0)))</f>
        <v/>
      </c>
      <c r="K2" s="14" t="str">
        <f>IF(OR(H2="",I2=""),"",IF(AND(F2=H2,G2=I2),3,IF(OR(AND(F2&gt; G2,H2&gt;I2),AND(F2= G2,H2=I2),AND(F2&lt; G2,H2&lt;I2)),1,0)))</f>
        <v/>
      </c>
      <c r="L2" s="10"/>
      <c r="M2" s="10"/>
      <c r="N2" s="14"/>
      <c r="O2" s="14"/>
    </row>
    <row r="3" spans="1:15" x14ac:dyDescent="0.25">
      <c r="A3" s="5">
        <v>97</v>
      </c>
      <c r="B3" s="5"/>
      <c r="C3" s="5"/>
      <c r="D3" s="11"/>
      <c r="E3" s="11"/>
      <c r="F3" s="15"/>
      <c r="G3" s="15"/>
      <c r="H3" s="19"/>
      <c r="I3" s="19"/>
      <c r="J3" s="11" t="str">
        <f t="shared" ref="J3:J5" si="0">IF(OR(H3="",I3=""),"",IF(AND(D3=H3,E3=I3),3,IF(OR(AND(D3&gt; E3,H3&gt;I3),AND(D3= E3,H3=I3),AND(D3&lt; E3,H3&lt;I3)),1,0)))</f>
        <v/>
      </c>
      <c r="K3" s="15" t="str">
        <f t="shared" ref="K3:K5" si="1">IF(OR(H3="",I3=""),"",IF(AND(F3=H3,G3=I3),3,IF(OR(AND(F3&gt; G3,H3&gt;I3),AND(F3= G3,H3=I3),AND(F3&lt; G3,H3&lt;I3)),1,0)))</f>
        <v/>
      </c>
      <c r="L3" s="11"/>
      <c r="M3" s="11"/>
      <c r="N3" s="15"/>
      <c r="O3" s="15"/>
    </row>
    <row r="4" spans="1:15" x14ac:dyDescent="0.25">
      <c r="A4" s="5">
        <v>98</v>
      </c>
      <c r="B4" s="5"/>
      <c r="C4" s="5"/>
      <c r="D4" s="11"/>
      <c r="E4" s="11"/>
      <c r="F4" s="15"/>
      <c r="G4" s="15"/>
      <c r="H4" s="19"/>
      <c r="I4" s="19"/>
      <c r="J4" s="11" t="str">
        <f t="shared" si="0"/>
        <v/>
      </c>
      <c r="K4" s="15" t="str">
        <f t="shared" si="1"/>
        <v/>
      </c>
      <c r="L4" s="11"/>
      <c r="M4" s="11"/>
      <c r="N4" s="15"/>
      <c r="O4" s="15"/>
    </row>
    <row r="5" spans="1:15" x14ac:dyDescent="0.25">
      <c r="A5" s="6">
        <v>99</v>
      </c>
      <c r="B5" s="6"/>
      <c r="C5" s="6"/>
      <c r="D5" s="12"/>
      <c r="E5" s="12"/>
      <c r="F5" s="16"/>
      <c r="G5" s="16"/>
      <c r="H5" s="20"/>
      <c r="I5" s="20"/>
      <c r="J5" s="12" t="str">
        <f t="shared" si="0"/>
        <v/>
      </c>
      <c r="K5" s="16" t="str">
        <f t="shared" si="1"/>
        <v/>
      </c>
      <c r="L5" s="12"/>
      <c r="M5" s="12"/>
      <c r="N5" s="16"/>
      <c r="O5" s="16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F077C2-CC65-4D96-8E72-DC81CFCB25E6}">
  <dimension ref="A1:O9"/>
  <sheetViews>
    <sheetView workbookViewId="0">
      <selection sqref="A1:XFD1"/>
    </sheetView>
  </sheetViews>
  <sheetFormatPr baseColWidth="10" defaultRowHeight="15" x14ac:dyDescent="0.25"/>
  <cols>
    <col min="1" max="1" width="11.42578125" style="1"/>
    <col min="2" max="2" width="14.140625" style="1" bestFit="1" customWidth="1"/>
    <col min="3" max="3" width="14.28515625" style="1" bestFit="1" customWidth="1"/>
    <col min="4" max="9" width="6.5703125" style="1" customWidth="1"/>
    <col min="10" max="11" width="5.42578125" style="1" bestFit="1" customWidth="1"/>
    <col min="12" max="16384" width="11.42578125" style="1"/>
  </cols>
  <sheetData>
    <row r="1" spans="1:15" x14ac:dyDescent="0.25">
      <c r="A1" s="8" t="s">
        <v>56</v>
      </c>
      <c r="B1" s="8" t="s">
        <v>48</v>
      </c>
      <c r="C1" s="8" t="s">
        <v>49</v>
      </c>
      <c r="D1" s="9" t="s">
        <v>132</v>
      </c>
      <c r="E1" s="9" t="s">
        <v>133</v>
      </c>
      <c r="F1" s="13" t="s">
        <v>134</v>
      </c>
      <c r="G1" s="13" t="s">
        <v>63</v>
      </c>
      <c r="H1" s="17" t="s">
        <v>135</v>
      </c>
      <c r="I1" s="17" t="s">
        <v>136</v>
      </c>
      <c r="J1" s="9" t="s">
        <v>50</v>
      </c>
      <c r="K1" s="13" t="s">
        <v>51</v>
      </c>
      <c r="L1" s="9" t="s">
        <v>67</v>
      </c>
      <c r="M1" s="9" t="s">
        <v>66</v>
      </c>
      <c r="N1" s="13" t="s">
        <v>68</v>
      </c>
      <c r="O1" s="13" t="s">
        <v>69</v>
      </c>
    </row>
    <row r="2" spans="1:15" x14ac:dyDescent="0.25">
      <c r="A2" s="7">
        <v>88</v>
      </c>
      <c r="B2" s="7"/>
      <c r="C2" s="7"/>
      <c r="D2" s="10"/>
      <c r="E2" s="10"/>
      <c r="F2" s="14"/>
      <c r="G2" s="14"/>
      <c r="H2" s="18"/>
      <c r="I2" s="18"/>
      <c r="J2" s="10" t="str">
        <f>IF(OR(H2="",I2=""),"",IF(AND(D2=H2,E2=I2),3,IF(OR(AND(D2&gt; E2,H2&gt;I2),AND(D2= E2,H2=I2),AND(D2&lt; E2,H2&lt;I2)),1,0)))</f>
        <v/>
      </c>
      <c r="K2" s="14" t="str">
        <f>IF(OR(H2="",I2=""),"",IF(AND(F2=H2,G2=I2),3,IF(OR(AND(F2&gt; G2,H2&gt;I2),AND(F2= G2,H2=I2),AND(F2&lt; G2,H2&lt;I2)),1,0)))</f>
        <v/>
      </c>
      <c r="L2" s="10"/>
      <c r="M2" s="10"/>
      <c r="N2" s="14"/>
      <c r="O2" s="14"/>
    </row>
    <row r="3" spans="1:15" x14ac:dyDescent="0.25">
      <c r="A3" s="7">
        <v>89</v>
      </c>
      <c r="B3" s="5"/>
      <c r="C3" s="5"/>
      <c r="D3" s="11"/>
      <c r="E3" s="11"/>
      <c r="F3" s="15"/>
      <c r="G3" s="15"/>
      <c r="H3" s="19"/>
      <c r="I3" s="19"/>
      <c r="J3" s="11" t="str">
        <f t="shared" ref="J3:J9" si="0">IF(OR(H3="",I3=""),"",IF(AND(D3=H3,E3=I3),3,IF(OR(AND(D3&gt; E3,H3&gt;I3),AND(D3= E3,H3=I3),AND(D3&lt; E3,H3&lt;I3)),1,0)))</f>
        <v/>
      </c>
      <c r="K3" s="15" t="str">
        <f t="shared" ref="K3:K9" si="1">IF(OR(H3="",I3=""),"",IF(AND(F3=H3,G3=I3),3,IF(OR(AND(F3&gt; G3,H3&gt;I3),AND(F3= G3,H3=I3),AND(F3&lt; G3,H3&lt;I3)),1,0)))</f>
        <v/>
      </c>
      <c r="L3" s="11"/>
      <c r="M3" s="11"/>
      <c r="N3" s="15"/>
      <c r="O3" s="15"/>
    </row>
    <row r="4" spans="1:15" x14ac:dyDescent="0.25">
      <c r="A4" s="7">
        <v>90</v>
      </c>
      <c r="B4" s="5"/>
      <c r="C4" s="5"/>
      <c r="D4" s="11"/>
      <c r="E4" s="11"/>
      <c r="F4" s="15"/>
      <c r="G4" s="15"/>
      <c r="H4" s="19"/>
      <c r="I4" s="19"/>
      <c r="J4" s="11" t="str">
        <f t="shared" si="0"/>
        <v/>
      </c>
      <c r="K4" s="15" t="str">
        <f t="shared" si="1"/>
        <v/>
      </c>
      <c r="L4" s="11"/>
      <c r="M4" s="11"/>
      <c r="N4" s="15"/>
      <c r="O4" s="15"/>
    </row>
    <row r="5" spans="1:15" x14ac:dyDescent="0.25">
      <c r="A5" s="7">
        <v>91</v>
      </c>
      <c r="B5" s="5"/>
      <c r="C5" s="5"/>
      <c r="D5" s="11"/>
      <c r="E5" s="11"/>
      <c r="F5" s="15"/>
      <c r="G5" s="15"/>
      <c r="H5" s="19"/>
      <c r="I5" s="19"/>
      <c r="J5" s="11" t="str">
        <f t="shared" si="0"/>
        <v/>
      </c>
      <c r="K5" s="15" t="str">
        <f t="shared" si="1"/>
        <v/>
      </c>
      <c r="L5" s="11"/>
      <c r="M5" s="11"/>
      <c r="N5" s="15"/>
      <c r="O5" s="15"/>
    </row>
    <row r="6" spans="1:15" x14ac:dyDescent="0.25">
      <c r="A6" s="7">
        <v>92</v>
      </c>
      <c r="B6" s="5"/>
      <c r="C6" s="5"/>
      <c r="D6" s="11"/>
      <c r="E6" s="11"/>
      <c r="F6" s="15"/>
      <c r="G6" s="15"/>
      <c r="H6" s="19"/>
      <c r="I6" s="19"/>
      <c r="J6" s="11" t="str">
        <f t="shared" si="0"/>
        <v/>
      </c>
      <c r="K6" s="15" t="str">
        <f t="shared" si="1"/>
        <v/>
      </c>
      <c r="L6" s="11"/>
      <c r="M6" s="11"/>
      <c r="N6" s="15"/>
      <c r="O6" s="15"/>
    </row>
    <row r="7" spans="1:15" x14ac:dyDescent="0.25">
      <c r="A7" s="7">
        <v>93</v>
      </c>
      <c r="B7" s="5"/>
      <c r="C7" s="5"/>
      <c r="D7" s="11"/>
      <c r="E7" s="11"/>
      <c r="F7" s="15"/>
      <c r="G7" s="15"/>
      <c r="H7" s="19"/>
      <c r="I7" s="19"/>
      <c r="J7" s="11" t="str">
        <f t="shared" si="0"/>
        <v/>
      </c>
      <c r="K7" s="15" t="str">
        <f t="shared" si="1"/>
        <v/>
      </c>
      <c r="L7" s="11"/>
      <c r="M7" s="11"/>
      <c r="N7" s="15"/>
      <c r="O7" s="15"/>
    </row>
    <row r="8" spans="1:15" x14ac:dyDescent="0.25">
      <c r="A8" s="7">
        <v>94</v>
      </c>
      <c r="B8" s="5"/>
      <c r="C8" s="5"/>
      <c r="D8" s="11"/>
      <c r="E8" s="11"/>
      <c r="F8" s="15"/>
      <c r="G8" s="15"/>
      <c r="H8" s="19"/>
      <c r="I8" s="19"/>
      <c r="J8" s="11" t="str">
        <f t="shared" si="0"/>
        <v/>
      </c>
      <c r="K8" s="15" t="str">
        <f t="shared" si="1"/>
        <v/>
      </c>
      <c r="L8" s="11"/>
      <c r="M8" s="11"/>
      <c r="N8" s="15"/>
      <c r="O8" s="15"/>
    </row>
    <row r="9" spans="1:15" x14ac:dyDescent="0.25">
      <c r="A9" s="6">
        <v>95</v>
      </c>
      <c r="B9" s="6"/>
      <c r="C9" s="6"/>
      <c r="D9" s="12"/>
      <c r="E9" s="12"/>
      <c r="F9" s="16"/>
      <c r="G9" s="16"/>
      <c r="H9" s="20"/>
      <c r="I9" s="20"/>
      <c r="J9" s="12" t="str">
        <f t="shared" si="0"/>
        <v/>
      </c>
      <c r="K9" s="16" t="str">
        <f t="shared" si="1"/>
        <v/>
      </c>
      <c r="L9" s="12"/>
      <c r="M9" s="12"/>
      <c r="N9" s="16"/>
      <c r="O9" s="16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BFC40E-F089-4680-BB82-DFAB4CC6ECF1}">
  <dimension ref="A1:O17"/>
  <sheetViews>
    <sheetView workbookViewId="0">
      <selection sqref="A1:XFD1"/>
    </sheetView>
  </sheetViews>
  <sheetFormatPr baseColWidth="10" defaultRowHeight="15" x14ac:dyDescent="0.25"/>
  <cols>
    <col min="1" max="1" width="11.42578125" style="1"/>
    <col min="2" max="2" width="14.140625" style="1" bestFit="1" customWidth="1"/>
    <col min="3" max="3" width="14.28515625" style="1" bestFit="1" customWidth="1"/>
    <col min="4" max="9" width="6.5703125" style="1" customWidth="1"/>
    <col min="10" max="11" width="5.42578125" style="1" bestFit="1" customWidth="1"/>
    <col min="12" max="16384" width="11.42578125" style="1"/>
  </cols>
  <sheetData>
    <row r="1" spans="1:15" x14ac:dyDescent="0.25">
      <c r="A1" s="8" t="s">
        <v>56</v>
      </c>
      <c r="B1" s="8" t="s">
        <v>48</v>
      </c>
      <c r="C1" s="8" t="s">
        <v>49</v>
      </c>
      <c r="D1" s="9" t="s">
        <v>132</v>
      </c>
      <c r="E1" s="9" t="s">
        <v>133</v>
      </c>
      <c r="F1" s="13" t="s">
        <v>134</v>
      </c>
      <c r="G1" s="13" t="s">
        <v>63</v>
      </c>
      <c r="H1" s="17" t="s">
        <v>135</v>
      </c>
      <c r="I1" s="17" t="s">
        <v>136</v>
      </c>
      <c r="J1" s="9" t="s">
        <v>50</v>
      </c>
      <c r="K1" s="13" t="s">
        <v>51</v>
      </c>
      <c r="L1" s="9" t="s">
        <v>67</v>
      </c>
      <c r="M1" s="9" t="s">
        <v>66</v>
      </c>
      <c r="N1" s="13" t="s">
        <v>68</v>
      </c>
      <c r="O1" s="13" t="s">
        <v>69</v>
      </c>
    </row>
    <row r="2" spans="1:15" x14ac:dyDescent="0.25">
      <c r="A2" s="7">
        <v>72</v>
      </c>
      <c r="B2" s="7"/>
      <c r="C2" s="7"/>
      <c r="D2" s="10"/>
      <c r="E2" s="10"/>
      <c r="F2" s="14"/>
      <c r="G2" s="14"/>
      <c r="H2" s="18"/>
      <c r="I2" s="18"/>
      <c r="J2" s="10" t="str">
        <f>IF(OR(H2="",I2=""),"",IF(AND(D2=H2,E2=I2),3,IF(OR(AND(D2&gt; E2,H2&gt;I2),AND(D2= E2,H2=I2),AND(D2&lt; E2,H2&lt;I2)),1,0)))</f>
        <v/>
      </c>
      <c r="K2" s="14" t="str">
        <f>IF(OR(H2="",I2=""),"",IF(AND(F2=H2,G2=I2),3,IF(OR(AND(F2&gt; G2,H2&gt;I2),AND(F2= G2,H2=I2),AND(F2&lt; G2,H2&lt;I2)),1,0)))</f>
        <v/>
      </c>
      <c r="L2" s="10"/>
      <c r="M2" s="10"/>
      <c r="N2" s="14"/>
      <c r="O2" s="14"/>
    </row>
    <row r="3" spans="1:15" x14ac:dyDescent="0.25">
      <c r="A3" s="5">
        <v>73</v>
      </c>
      <c r="B3" s="5"/>
      <c r="C3" s="5"/>
      <c r="D3" s="11"/>
      <c r="E3" s="11"/>
      <c r="F3" s="15"/>
      <c r="G3" s="15"/>
      <c r="H3" s="19"/>
      <c r="I3" s="19"/>
      <c r="J3" s="11" t="str">
        <f t="shared" ref="J3:J17" si="0">IF(OR(H3="",I3=""),"",IF(AND(D3=H3,E3=I3),3,IF(OR(AND(D3&gt; E3,H3&gt;I3),AND(D3= E3,H3=I3),AND(D3&lt; E3,H3&lt;I3)),1,0)))</f>
        <v/>
      </c>
      <c r="K3" s="15" t="str">
        <f t="shared" ref="K3:K17" si="1">IF(OR(H3="",I3=""),"",IF(AND(F3=H3,G3=I3),3,IF(OR(AND(F3&gt; G3,H3&gt;I3),AND(F3= G3,H3=I3),AND(F3&lt; G3,H3&lt;I3)),1,0)))</f>
        <v/>
      </c>
      <c r="L3" s="11"/>
      <c r="M3" s="11"/>
      <c r="N3" s="15"/>
      <c r="O3" s="15"/>
    </row>
    <row r="4" spans="1:15" x14ac:dyDescent="0.25">
      <c r="A4" s="5">
        <v>74</v>
      </c>
      <c r="B4" s="5"/>
      <c r="C4" s="5"/>
      <c r="D4" s="11"/>
      <c r="E4" s="11"/>
      <c r="F4" s="15"/>
      <c r="G4" s="15"/>
      <c r="H4" s="19"/>
      <c r="I4" s="19"/>
      <c r="J4" s="11" t="str">
        <f t="shared" si="0"/>
        <v/>
      </c>
      <c r="K4" s="15" t="str">
        <f t="shared" si="1"/>
        <v/>
      </c>
      <c r="L4" s="11"/>
      <c r="M4" s="11"/>
      <c r="N4" s="15"/>
      <c r="O4" s="15"/>
    </row>
    <row r="5" spans="1:15" x14ac:dyDescent="0.25">
      <c r="A5" s="7">
        <v>75</v>
      </c>
      <c r="B5" s="5"/>
      <c r="C5" s="5"/>
      <c r="D5" s="11"/>
      <c r="E5" s="11"/>
      <c r="F5" s="15"/>
      <c r="G5" s="15"/>
      <c r="H5" s="19"/>
      <c r="I5" s="19"/>
      <c r="J5" s="11" t="str">
        <f t="shared" si="0"/>
        <v/>
      </c>
      <c r="K5" s="15" t="str">
        <f t="shared" si="1"/>
        <v/>
      </c>
      <c r="L5" s="11"/>
      <c r="M5" s="11"/>
      <c r="N5" s="15"/>
      <c r="O5" s="15"/>
    </row>
    <row r="6" spans="1:15" x14ac:dyDescent="0.25">
      <c r="A6" s="5">
        <v>76</v>
      </c>
      <c r="B6" s="5"/>
      <c r="C6" s="5"/>
      <c r="D6" s="11"/>
      <c r="E6" s="11"/>
      <c r="F6" s="15"/>
      <c r="G6" s="15"/>
      <c r="H6" s="19"/>
      <c r="I6" s="19"/>
      <c r="J6" s="11" t="str">
        <f t="shared" si="0"/>
        <v/>
      </c>
      <c r="K6" s="15" t="str">
        <f t="shared" si="1"/>
        <v/>
      </c>
      <c r="L6" s="11"/>
      <c r="M6" s="11"/>
      <c r="N6" s="15"/>
      <c r="O6" s="15"/>
    </row>
    <row r="7" spans="1:15" x14ac:dyDescent="0.25">
      <c r="A7" s="5">
        <v>77</v>
      </c>
      <c r="B7" s="5"/>
      <c r="C7" s="5"/>
      <c r="D7" s="11"/>
      <c r="E7" s="11"/>
      <c r="F7" s="15"/>
      <c r="G7" s="15"/>
      <c r="H7" s="19"/>
      <c r="I7" s="19"/>
      <c r="J7" s="11" t="str">
        <f t="shared" si="0"/>
        <v/>
      </c>
      <c r="K7" s="15" t="str">
        <f t="shared" si="1"/>
        <v/>
      </c>
      <c r="L7" s="11"/>
      <c r="M7" s="11"/>
      <c r="N7" s="15"/>
      <c r="O7" s="15"/>
    </row>
    <row r="8" spans="1:15" x14ac:dyDescent="0.25">
      <c r="A8" s="7">
        <v>78</v>
      </c>
      <c r="B8" s="5"/>
      <c r="C8" s="5"/>
      <c r="D8" s="11"/>
      <c r="E8" s="11"/>
      <c r="F8" s="15"/>
      <c r="G8" s="15"/>
      <c r="H8" s="19"/>
      <c r="I8" s="19"/>
      <c r="J8" s="11" t="str">
        <f t="shared" si="0"/>
        <v/>
      </c>
      <c r="K8" s="15" t="str">
        <f t="shared" si="1"/>
        <v/>
      </c>
      <c r="L8" s="11"/>
      <c r="M8" s="11"/>
      <c r="N8" s="15"/>
      <c r="O8" s="15"/>
    </row>
    <row r="9" spans="1:15" x14ac:dyDescent="0.25">
      <c r="A9" s="5">
        <v>79</v>
      </c>
      <c r="B9" s="5"/>
      <c r="C9" s="5"/>
      <c r="D9" s="11"/>
      <c r="E9" s="11"/>
      <c r="F9" s="15"/>
      <c r="G9" s="15"/>
      <c r="H9" s="19"/>
      <c r="I9" s="19"/>
      <c r="J9" s="11" t="str">
        <f t="shared" si="0"/>
        <v/>
      </c>
      <c r="K9" s="15" t="str">
        <f t="shared" si="1"/>
        <v/>
      </c>
      <c r="L9" s="11"/>
      <c r="M9" s="11"/>
      <c r="N9" s="15"/>
      <c r="O9" s="15"/>
    </row>
    <row r="10" spans="1:15" x14ac:dyDescent="0.25">
      <c r="A10" s="5">
        <v>80</v>
      </c>
      <c r="B10" s="5"/>
      <c r="C10" s="5"/>
      <c r="D10" s="11"/>
      <c r="E10" s="11"/>
      <c r="F10" s="15"/>
      <c r="G10" s="15"/>
      <c r="H10" s="19"/>
      <c r="I10" s="19"/>
      <c r="J10" s="11" t="str">
        <f t="shared" si="0"/>
        <v/>
      </c>
      <c r="K10" s="15" t="str">
        <f t="shared" si="1"/>
        <v/>
      </c>
      <c r="L10" s="11"/>
      <c r="M10" s="11"/>
      <c r="N10" s="15"/>
      <c r="O10" s="15"/>
    </row>
    <row r="11" spans="1:15" x14ac:dyDescent="0.25">
      <c r="A11" s="7">
        <v>81</v>
      </c>
      <c r="B11" s="5"/>
      <c r="C11" s="5"/>
      <c r="D11" s="11"/>
      <c r="E11" s="11"/>
      <c r="F11" s="15"/>
      <c r="G11" s="15"/>
      <c r="H11" s="19"/>
      <c r="I11" s="19"/>
      <c r="J11" s="11" t="str">
        <f t="shared" si="0"/>
        <v/>
      </c>
      <c r="K11" s="15" t="str">
        <f t="shared" si="1"/>
        <v/>
      </c>
      <c r="L11" s="11"/>
      <c r="M11" s="11"/>
      <c r="N11" s="15"/>
      <c r="O11" s="15"/>
    </row>
    <row r="12" spans="1:15" x14ac:dyDescent="0.25">
      <c r="A12" s="5">
        <v>82</v>
      </c>
      <c r="B12" s="5"/>
      <c r="C12" s="5"/>
      <c r="D12" s="11"/>
      <c r="E12" s="11"/>
      <c r="F12" s="15"/>
      <c r="G12" s="15"/>
      <c r="H12" s="19"/>
      <c r="I12" s="19"/>
      <c r="J12" s="11" t="str">
        <f t="shared" si="0"/>
        <v/>
      </c>
      <c r="K12" s="15" t="str">
        <f t="shared" si="1"/>
        <v/>
      </c>
      <c r="L12" s="11"/>
      <c r="M12" s="11"/>
      <c r="N12" s="15"/>
      <c r="O12" s="15"/>
    </row>
    <row r="13" spans="1:15" x14ac:dyDescent="0.25">
      <c r="A13" s="5">
        <v>83</v>
      </c>
      <c r="B13" s="5"/>
      <c r="C13" s="5"/>
      <c r="D13" s="11"/>
      <c r="E13" s="11"/>
      <c r="F13" s="15"/>
      <c r="G13" s="15"/>
      <c r="H13" s="19"/>
      <c r="I13" s="19"/>
      <c r="J13" s="11" t="str">
        <f t="shared" si="0"/>
        <v/>
      </c>
      <c r="K13" s="15" t="str">
        <f t="shared" si="1"/>
        <v/>
      </c>
      <c r="L13" s="11"/>
      <c r="M13" s="11"/>
      <c r="N13" s="15"/>
      <c r="O13" s="15"/>
    </row>
    <row r="14" spans="1:15" x14ac:dyDescent="0.25">
      <c r="A14" s="7">
        <v>84</v>
      </c>
      <c r="B14" s="5"/>
      <c r="C14" s="5"/>
      <c r="D14" s="11"/>
      <c r="E14" s="11"/>
      <c r="F14" s="15"/>
      <c r="G14" s="15"/>
      <c r="H14" s="19"/>
      <c r="I14" s="19"/>
      <c r="J14" s="11" t="str">
        <f t="shared" si="0"/>
        <v/>
      </c>
      <c r="K14" s="15" t="str">
        <f t="shared" si="1"/>
        <v/>
      </c>
      <c r="L14" s="11"/>
      <c r="M14" s="11"/>
      <c r="N14" s="15"/>
      <c r="O14" s="15"/>
    </row>
    <row r="15" spans="1:15" x14ac:dyDescent="0.25">
      <c r="A15" s="5">
        <v>85</v>
      </c>
      <c r="B15" s="5"/>
      <c r="C15" s="5"/>
      <c r="D15" s="11"/>
      <c r="E15" s="11"/>
      <c r="F15" s="15"/>
      <c r="G15" s="15"/>
      <c r="H15" s="19"/>
      <c r="I15" s="19"/>
      <c r="J15" s="11" t="str">
        <f t="shared" si="0"/>
        <v/>
      </c>
      <c r="K15" s="15" t="str">
        <f t="shared" si="1"/>
        <v/>
      </c>
      <c r="L15" s="11"/>
      <c r="M15" s="11"/>
      <c r="N15" s="15"/>
      <c r="O15" s="15"/>
    </row>
    <row r="16" spans="1:15" x14ac:dyDescent="0.25">
      <c r="A16" s="5">
        <v>86</v>
      </c>
      <c r="B16" s="5"/>
      <c r="C16" s="5"/>
      <c r="D16" s="11"/>
      <c r="E16" s="11"/>
      <c r="F16" s="15"/>
      <c r="G16" s="15"/>
      <c r="H16" s="19"/>
      <c r="I16" s="19"/>
      <c r="J16" s="11" t="str">
        <f t="shared" si="0"/>
        <v/>
      </c>
      <c r="K16" s="15" t="str">
        <f t="shared" si="1"/>
        <v/>
      </c>
      <c r="L16" s="11"/>
      <c r="M16" s="11"/>
      <c r="N16" s="15"/>
      <c r="O16" s="15"/>
    </row>
    <row r="17" spans="1:15" x14ac:dyDescent="0.25">
      <c r="A17" s="6">
        <v>87</v>
      </c>
      <c r="B17" s="6"/>
      <c r="C17" s="6"/>
      <c r="D17" s="12"/>
      <c r="E17" s="12"/>
      <c r="F17" s="16"/>
      <c r="G17" s="16"/>
      <c r="H17" s="20"/>
      <c r="I17" s="20"/>
      <c r="J17" s="12" t="str">
        <f t="shared" si="0"/>
        <v/>
      </c>
      <c r="K17" s="16" t="str">
        <f t="shared" si="1"/>
        <v/>
      </c>
      <c r="L17" s="12"/>
      <c r="M17" s="12"/>
      <c r="N17" s="16"/>
      <c r="O17" s="16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382A3-5CB0-4ED8-9143-93C526F246EE}">
  <dimension ref="A1:O25"/>
  <sheetViews>
    <sheetView tabSelected="1" workbookViewId="0">
      <selection activeCell="H20" sqref="H20"/>
    </sheetView>
  </sheetViews>
  <sheetFormatPr baseColWidth="10" defaultRowHeight="15" x14ac:dyDescent="0.25"/>
  <cols>
    <col min="1" max="1" width="11.42578125" style="1"/>
    <col min="2" max="2" width="14.140625" style="1" bestFit="1" customWidth="1"/>
    <col min="3" max="3" width="14.28515625" style="1" bestFit="1" customWidth="1"/>
    <col min="4" max="9" width="6.5703125" style="1" customWidth="1"/>
    <col min="10" max="11" width="5.42578125" style="1" bestFit="1" customWidth="1"/>
    <col min="12" max="16384" width="11.42578125" style="1"/>
  </cols>
  <sheetData>
    <row r="1" spans="1:15" x14ac:dyDescent="0.25">
      <c r="A1" s="8" t="s">
        <v>56</v>
      </c>
      <c r="B1" s="8" t="s">
        <v>48</v>
      </c>
      <c r="C1" s="8" t="s">
        <v>49</v>
      </c>
      <c r="D1" s="9" t="s">
        <v>132</v>
      </c>
      <c r="E1" s="9" t="s">
        <v>133</v>
      </c>
      <c r="F1" s="13" t="s">
        <v>134</v>
      </c>
      <c r="G1" s="13" t="s">
        <v>63</v>
      </c>
      <c r="H1" s="17" t="s">
        <v>135</v>
      </c>
      <c r="I1" s="17" t="s">
        <v>136</v>
      </c>
      <c r="J1" s="9" t="s">
        <v>50</v>
      </c>
      <c r="K1" s="13" t="s">
        <v>51</v>
      </c>
      <c r="L1" s="9" t="s">
        <v>67</v>
      </c>
      <c r="M1" s="9" t="s">
        <v>66</v>
      </c>
      <c r="N1" s="13" t="s">
        <v>68</v>
      </c>
      <c r="O1" s="13" t="s">
        <v>69</v>
      </c>
    </row>
    <row r="2" spans="1:15" x14ac:dyDescent="0.25">
      <c r="A2" s="7">
        <v>48</v>
      </c>
      <c r="B2" s="7" t="s">
        <v>0</v>
      </c>
      <c r="C2" s="7" t="s">
        <v>32</v>
      </c>
      <c r="D2" s="10">
        <v>1</v>
      </c>
      <c r="E2" s="10">
        <v>1</v>
      </c>
      <c r="F2" s="14">
        <v>2</v>
      </c>
      <c r="G2" s="14">
        <v>0</v>
      </c>
      <c r="H2" s="18">
        <v>3</v>
      </c>
      <c r="I2" s="18">
        <v>1</v>
      </c>
      <c r="J2" s="10">
        <f>IF(OR(H2="",I2=""),"",IF(AND(D2=H2,E2=I2),3,IF(OR(AND(D2&gt; E2,H2&gt;I2),AND(D2= E2,H2=I2),AND(D2&lt; E2,H2&lt;I2)),1,0)))</f>
        <v>0</v>
      </c>
      <c r="K2" s="14">
        <f>IF(OR(H2="",I2=""),"",IF(AND(F2=H2,G2=I2),3,IF(OR(AND(F2&gt; G2,H2&gt;I2),AND(F2= G2,H2=I2),AND(F2&lt; G2,H2&lt;I2)),1,0)))</f>
        <v>1</v>
      </c>
      <c r="L2" s="10"/>
      <c r="M2" s="10"/>
      <c r="N2" s="14"/>
      <c r="O2" s="14"/>
    </row>
    <row r="3" spans="1:15" x14ac:dyDescent="0.25">
      <c r="A3" s="5">
        <v>49</v>
      </c>
      <c r="B3" s="5" t="s">
        <v>3</v>
      </c>
      <c r="C3" s="5" t="s">
        <v>31</v>
      </c>
      <c r="D3" s="11">
        <v>1</v>
      </c>
      <c r="E3" s="11">
        <v>2</v>
      </c>
      <c r="F3" s="15">
        <v>1</v>
      </c>
      <c r="G3" s="15">
        <v>3</v>
      </c>
      <c r="H3" s="19">
        <v>2</v>
      </c>
      <c r="I3" s="19">
        <v>1</v>
      </c>
      <c r="J3" s="11">
        <f t="shared" ref="J3:J25" si="0">IF(OR(H3="",I3=""),"",IF(AND(D3=H3,E3=I3),3,IF(OR(AND(D3&gt; E3,H3&gt;I3),AND(D3= E3,H3=I3),AND(D3&lt; E3,H3&lt;I3)),1,0)))</f>
        <v>0</v>
      </c>
      <c r="K3" s="15">
        <f t="shared" ref="K3:K25" si="1">IF(OR(H3="",I3=""),"",IF(AND(F3=H3,G3=I3),3,IF(OR(AND(F3&gt; G3,H3&gt;I3),AND(F3= G3,H3=I3),AND(F3&lt; G3,H3&lt;I3)),1,0)))</f>
        <v>0</v>
      </c>
      <c r="L3" s="11"/>
      <c r="M3" s="11"/>
      <c r="N3" s="15"/>
      <c r="O3" s="15"/>
    </row>
    <row r="4" spans="1:15" x14ac:dyDescent="0.25">
      <c r="A4" s="5">
        <v>50</v>
      </c>
      <c r="B4" s="5" t="s">
        <v>5</v>
      </c>
      <c r="C4" s="5" t="s">
        <v>36</v>
      </c>
      <c r="D4" s="11">
        <v>3</v>
      </c>
      <c r="E4" s="11">
        <v>0</v>
      </c>
      <c r="F4" s="15">
        <v>3</v>
      </c>
      <c r="G4" s="15">
        <v>0</v>
      </c>
      <c r="H4" s="19">
        <v>4</v>
      </c>
      <c r="I4" s="19">
        <v>2</v>
      </c>
      <c r="J4" s="11">
        <f t="shared" si="0"/>
        <v>1</v>
      </c>
      <c r="K4" s="15">
        <f t="shared" si="1"/>
        <v>1</v>
      </c>
      <c r="L4" s="11"/>
      <c r="M4" s="11"/>
      <c r="N4" s="15" t="s">
        <v>53</v>
      </c>
      <c r="O4" s="15">
        <v>7.3</v>
      </c>
    </row>
    <row r="5" spans="1:15" x14ac:dyDescent="0.25">
      <c r="A5" s="5">
        <v>51</v>
      </c>
      <c r="B5" s="5" t="s">
        <v>6</v>
      </c>
      <c r="C5" s="5" t="s">
        <v>4</v>
      </c>
      <c r="D5" s="11">
        <v>0</v>
      </c>
      <c r="E5" s="11">
        <v>2</v>
      </c>
      <c r="F5" s="15">
        <v>1</v>
      </c>
      <c r="G5" s="15">
        <v>2</v>
      </c>
      <c r="H5" s="19">
        <v>0</v>
      </c>
      <c r="I5" s="19">
        <v>3</v>
      </c>
      <c r="J5" s="11">
        <f t="shared" si="0"/>
        <v>1</v>
      </c>
      <c r="K5" s="15">
        <f t="shared" si="1"/>
        <v>1</v>
      </c>
      <c r="L5" s="11"/>
      <c r="M5" s="11"/>
      <c r="N5" s="15"/>
      <c r="O5" s="15"/>
    </row>
    <row r="6" spans="1:15" x14ac:dyDescent="0.25">
      <c r="A6" s="5">
        <v>52</v>
      </c>
      <c r="B6" s="5" t="s">
        <v>30</v>
      </c>
      <c r="C6" s="5" t="s">
        <v>34</v>
      </c>
      <c r="D6" s="11">
        <v>1</v>
      </c>
      <c r="E6" s="11">
        <v>2</v>
      </c>
      <c r="F6" s="15">
        <v>0</v>
      </c>
      <c r="G6" s="15">
        <v>2</v>
      </c>
      <c r="H6" s="19">
        <v>1</v>
      </c>
      <c r="I6" s="19">
        <v>0</v>
      </c>
      <c r="J6" s="11">
        <f t="shared" si="0"/>
        <v>0</v>
      </c>
      <c r="K6" s="15">
        <f t="shared" si="1"/>
        <v>0</v>
      </c>
      <c r="L6" s="11"/>
      <c r="M6" s="11"/>
      <c r="N6" s="15"/>
      <c r="O6" s="15"/>
    </row>
    <row r="7" spans="1:15" x14ac:dyDescent="0.25">
      <c r="A7" s="5">
        <v>53</v>
      </c>
      <c r="B7" s="5" t="s">
        <v>46</v>
      </c>
      <c r="C7" s="5" t="s">
        <v>33</v>
      </c>
      <c r="D7" s="11">
        <v>2</v>
      </c>
      <c r="E7" s="11">
        <v>2</v>
      </c>
      <c r="F7" s="15">
        <v>0</v>
      </c>
      <c r="G7" s="15">
        <v>0</v>
      </c>
      <c r="H7" s="19">
        <v>0</v>
      </c>
      <c r="I7" s="19">
        <v>3</v>
      </c>
      <c r="J7" s="11">
        <f t="shared" si="0"/>
        <v>0</v>
      </c>
      <c r="K7" s="15">
        <f t="shared" si="1"/>
        <v>0</v>
      </c>
      <c r="L7" s="11"/>
      <c r="M7" s="11"/>
      <c r="N7" s="15"/>
      <c r="O7" s="15"/>
    </row>
    <row r="8" spans="1:15" x14ac:dyDescent="0.25">
      <c r="A8" s="5">
        <v>54</v>
      </c>
      <c r="B8" s="5" t="s">
        <v>9</v>
      </c>
      <c r="C8" s="5" t="s">
        <v>38</v>
      </c>
      <c r="D8" s="11">
        <v>0</v>
      </c>
      <c r="E8" s="11">
        <v>2</v>
      </c>
      <c r="F8" s="15">
        <v>0</v>
      </c>
      <c r="G8" s="15">
        <v>3</v>
      </c>
      <c r="H8" s="19">
        <v>0</v>
      </c>
      <c r="I8" s="19">
        <v>2</v>
      </c>
      <c r="J8" s="11">
        <f t="shared" si="0"/>
        <v>3</v>
      </c>
      <c r="K8" s="15">
        <f t="shared" si="1"/>
        <v>1</v>
      </c>
      <c r="L8" s="11"/>
      <c r="M8" s="11"/>
      <c r="N8" s="15"/>
      <c r="O8" s="15"/>
    </row>
    <row r="9" spans="1:15" x14ac:dyDescent="0.25">
      <c r="A9" s="5">
        <v>55</v>
      </c>
      <c r="B9" s="5" t="s">
        <v>11</v>
      </c>
      <c r="C9" s="5" t="s">
        <v>8</v>
      </c>
      <c r="D9" s="11">
        <v>1</v>
      </c>
      <c r="E9" s="11">
        <v>3</v>
      </c>
      <c r="F9" s="15">
        <v>1</v>
      </c>
      <c r="G9" s="15">
        <v>3</v>
      </c>
      <c r="H9" s="19">
        <v>2</v>
      </c>
      <c r="I9" s="19">
        <v>1</v>
      </c>
      <c r="J9" s="11">
        <f t="shared" si="0"/>
        <v>0</v>
      </c>
      <c r="K9" s="15">
        <f t="shared" si="1"/>
        <v>0</v>
      </c>
      <c r="L9" s="11"/>
      <c r="M9" s="11"/>
      <c r="N9" s="15"/>
      <c r="O9" s="15"/>
    </row>
    <row r="10" spans="1:15" x14ac:dyDescent="0.25">
      <c r="A10" s="5">
        <v>56</v>
      </c>
      <c r="B10" s="5" t="s">
        <v>77</v>
      </c>
      <c r="C10" s="5" t="s">
        <v>10</v>
      </c>
      <c r="D10" s="11">
        <v>0</v>
      </c>
      <c r="E10" s="11">
        <v>4</v>
      </c>
      <c r="F10" s="15">
        <v>0</v>
      </c>
      <c r="G10" s="15">
        <v>4</v>
      </c>
      <c r="H10" s="19">
        <v>1</v>
      </c>
      <c r="I10" s="19">
        <v>3</v>
      </c>
      <c r="J10" s="11">
        <f t="shared" si="0"/>
        <v>1</v>
      </c>
      <c r="K10" s="15">
        <f t="shared" si="1"/>
        <v>1</v>
      </c>
      <c r="L10" s="11" t="s">
        <v>52</v>
      </c>
      <c r="M10" s="11">
        <v>6.3</v>
      </c>
      <c r="N10" s="15"/>
      <c r="O10" s="15"/>
    </row>
    <row r="11" spans="1:15" x14ac:dyDescent="0.25">
      <c r="A11" s="5">
        <v>57</v>
      </c>
      <c r="B11" s="5" t="s">
        <v>47</v>
      </c>
      <c r="C11" s="5" t="s">
        <v>12</v>
      </c>
      <c r="D11" s="11">
        <v>2</v>
      </c>
      <c r="E11" s="11">
        <v>1</v>
      </c>
      <c r="F11" s="15">
        <v>1</v>
      </c>
      <c r="G11" s="15">
        <v>2</v>
      </c>
      <c r="H11" s="19">
        <v>1</v>
      </c>
      <c r="I11" s="19">
        <v>1</v>
      </c>
      <c r="J11" s="11">
        <f t="shared" si="0"/>
        <v>0</v>
      </c>
      <c r="K11" s="15">
        <f t="shared" si="1"/>
        <v>0</v>
      </c>
      <c r="L11" s="11"/>
      <c r="M11" s="11"/>
      <c r="N11" s="15"/>
      <c r="O11" s="15"/>
    </row>
    <row r="12" spans="1:15" x14ac:dyDescent="0.25">
      <c r="A12" s="5">
        <v>58</v>
      </c>
      <c r="B12" s="5" t="s">
        <v>1</v>
      </c>
      <c r="C12" s="5" t="s">
        <v>7</v>
      </c>
      <c r="D12" s="11">
        <v>1</v>
      </c>
      <c r="E12" s="11">
        <v>1</v>
      </c>
      <c r="F12" s="15">
        <v>1</v>
      </c>
      <c r="G12" s="15">
        <v>0</v>
      </c>
      <c r="H12" s="19">
        <v>0</v>
      </c>
      <c r="I12" s="19">
        <v>0</v>
      </c>
      <c r="J12" s="11">
        <f t="shared" si="0"/>
        <v>1</v>
      </c>
      <c r="K12" s="15">
        <f t="shared" si="1"/>
        <v>0</v>
      </c>
      <c r="L12" s="11"/>
      <c r="M12" s="11"/>
      <c r="N12" s="15"/>
      <c r="O12" s="15"/>
    </row>
    <row r="13" spans="1:15" x14ac:dyDescent="0.25">
      <c r="A13" s="5">
        <v>59</v>
      </c>
      <c r="B13" s="5" t="s">
        <v>37</v>
      </c>
      <c r="C13" s="5" t="s">
        <v>35</v>
      </c>
      <c r="D13" s="11">
        <v>1</v>
      </c>
      <c r="E13" s="11">
        <v>2</v>
      </c>
      <c r="F13" s="15">
        <v>2</v>
      </c>
      <c r="G13" s="15">
        <v>0</v>
      </c>
      <c r="H13" s="19">
        <v>3</v>
      </c>
      <c r="I13" s="19">
        <v>2</v>
      </c>
      <c r="J13" s="11">
        <f t="shared" si="0"/>
        <v>0</v>
      </c>
      <c r="K13" s="15">
        <f t="shared" si="1"/>
        <v>1</v>
      </c>
      <c r="L13" s="11"/>
      <c r="M13" s="11"/>
      <c r="N13" s="15"/>
      <c r="O13" s="15"/>
    </row>
    <row r="14" spans="1:15" x14ac:dyDescent="0.25">
      <c r="A14" s="5">
        <v>60</v>
      </c>
      <c r="B14" s="5" t="s">
        <v>19</v>
      </c>
      <c r="C14" s="5" t="s">
        <v>20</v>
      </c>
      <c r="D14" s="11">
        <v>2</v>
      </c>
      <c r="E14" s="11">
        <v>0</v>
      </c>
      <c r="F14" s="15">
        <v>3</v>
      </c>
      <c r="G14" s="15">
        <v>0</v>
      </c>
      <c r="H14" s="19">
        <v>5</v>
      </c>
      <c r="I14" s="19">
        <v>0</v>
      </c>
      <c r="J14" s="11">
        <f t="shared" si="0"/>
        <v>1</v>
      </c>
      <c r="K14" s="15">
        <f t="shared" si="1"/>
        <v>1</v>
      </c>
      <c r="L14" s="11"/>
      <c r="M14" s="11"/>
      <c r="N14" s="15"/>
      <c r="O14" s="15"/>
    </row>
    <row r="15" spans="1:15" x14ac:dyDescent="0.25">
      <c r="A15" s="5">
        <v>61</v>
      </c>
      <c r="B15" s="5" t="s">
        <v>21</v>
      </c>
      <c r="C15" s="5" t="s">
        <v>18</v>
      </c>
      <c r="D15" s="11">
        <v>1</v>
      </c>
      <c r="E15" s="11">
        <v>3</v>
      </c>
      <c r="F15" s="15">
        <v>2</v>
      </c>
      <c r="G15" s="15">
        <v>3</v>
      </c>
      <c r="H15" s="19">
        <v>1</v>
      </c>
      <c r="I15" s="19">
        <v>4</v>
      </c>
      <c r="J15" s="11">
        <f t="shared" si="0"/>
        <v>1</v>
      </c>
      <c r="K15" s="15">
        <f t="shared" si="1"/>
        <v>1</v>
      </c>
      <c r="L15" s="11"/>
      <c r="M15" s="11"/>
      <c r="N15" s="15"/>
      <c r="O15" s="15"/>
    </row>
    <row r="16" spans="1:15" x14ac:dyDescent="0.25">
      <c r="A16" s="5">
        <v>62</v>
      </c>
      <c r="B16" s="5" t="s">
        <v>16</v>
      </c>
      <c r="C16" s="5" t="s">
        <v>13</v>
      </c>
      <c r="D16" s="11">
        <v>0</v>
      </c>
      <c r="E16" s="11">
        <v>2</v>
      </c>
      <c r="F16" s="15">
        <v>1</v>
      </c>
      <c r="G16" s="15">
        <v>1</v>
      </c>
      <c r="H16" s="19">
        <v>0</v>
      </c>
      <c r="I16" s="19">
        <v>1</v>
      </c>
      <c r="J16" s="11">
        <f t="shared" si="0"/>
        <v>1</v>
      </c>
      <c r="K16" s="15">
        <f t="shared" si="1"/>
        <v>0</v>
      </c>
      <c r="L16" s="11"/>
      <c r="M16" s="11"/>
      <c r="N16" s="15"/>
      <c r="O16" s="15"/>
    </row>
    <row r="17" spans="1:15" x14ac:dyDescent="0.25">
      <c r="A17" s="5">
        <v>63</v>
      </c>
      <c r="B17" s="5" t="s">
        <v>14</v>
      </c>
      <c r="C17" s="5" t="s">
        <v>39</v>
      </c>
      <c r="D17" s="11">
        <v>1</v>
      </c>
      <c r="E17" s="11">
        <v>0</v>
      </c>
      <c r="F17" s="15">
        <v>0</v>
      </c>
      <c r="G17" s="15">
        <v>0</v>
      </c>
      <c r="H17" s="19">
        <v>0</v>
      </c>
      <c r="I17" s="19">
        <v>0</v>
      </c>
      <c r="J17" s="11">
        <f t="shared" si="0"/>
        <v>0</v>
      </c>
      <c r="K17" s="15">
        <f t="shared" si="1"/>
        <v>3</v>
      </c>
      <c r="L17" s="11"/>
      <c r="M17" s="11"/>
      <c r="N17" s="15"/>
      <c r="O17" s="15"/>
    </row>
    <row r="18" spans="1:15" x14ac:dyDescent="0.25">
      <c r="A18" s="5">
        <v>64</v>
      </c>
      <c r="B18" s="5" t="s">
        <v>15</v>
      </c>
      <c r="C18" s="5" t="s">
        <v>41</v>
      </c>
      <c r="D18" s="11">
        <v>1</v>
      </c>
      <c r="E18" s="11">
        <v>1</v>
      </c>
      <c r="F18" s="15">
        <v>2</v>
      </c>
      <c r="G18" s="15">
        <v>1</v>
      </c>
      <c r="H18" s="19">
        <v>1</v>
      </c>
      <c r="I18" s="19">
        <v>1</v>
      </c>
      <c r="J18" s="11">
        <f t="shared" si="0"/>
        <v>3</v>
      </c>
      <c r="K18" s="15">
        <f t="shared" si="1"/>
        <v>0</v>
      </c>
      <c r="L18" s="11"/>
      <c r="M18" s="11"/>
      <c r="N18" s="15"/>
      <c r="O18" s="15"/>
    </row>
    <row r="19" spans="1:15" x14ac:dyDescent="0.25">
      <c r="A19" s="5">
        <v>65</v>
      </c>
      <c r="B19" s="5" t="s">
        <v>17</v>
      </c>
      <c r="C19" s="5" t="s">
        <v>40</v>
      </c>
      <c r="D19" s="11">
        <v>0</v>
      </c>
      <c r="E19" s="11">
        <v>2</v>
      </c>
      <c r="F19" s="15">
        <v>0</v>
      </c>
      <c r="G19" s="15">
        <v>2</v>
      </c>
      <c r="H19" s="19">
        <v>1</v>
      </c>
      <c r="I19" s="19">
        <v>5</v>
      </c>
      <c r="J19" s="11">
        <f t="shared" si="0"/>
        <v>1</v>
      </c>
      <c r="K19" s="15">
        <f t="shared" si="1"/>
        <v>1</v>
      </c>
      <c r="L19" s="11"/>
      <c r="M19" s="11"/>
      <c r="N19" s="15"/>
      <c r="O19" s="15"/>
    </row>
    <row r="20" spans="1:15" x14ac:dyDescent="0.25">
      <c r="A20" s="5">
        <v>66</v>
      </c>
      <c r="B20" s="5" t="s">
        <v>44</v>
      </c>
      <c r="C20" s="5" t="s">
        <v>26</v>
      </c>
      <c r="D20" s="11">
        <v>0</v>
      </c>
      <c r="E20" s="11">
        <v>3</v>
      </c>
      <c r="F20" s="15">
        <v>0</v>
      </c>
      <c r="G20" s="15">
        <v>3</v>
      </c>
      <c r="H20" s="19"/>
      <c r="I20" s="19"/>
      <c r="J20" s="11" t="str">
        <f t="shared" si="0"/>
        <v/>
      </c>
      <c r="K20" s="15" t="str">
        <f t="shared" si="1"/>
        <v/>
      </c>
      <c r="L20" s="11"/>
      <c r="M20" s="11"/>
      <c r="N20" s="15"/>
      <c r="O20" s="15"/>
    </row>
    <row r="21" spans="1:15" x14ac:dyDescent="0.25">
      <c r="A21" s="5">
        <v>67</v>
      </c>
      <c r="B21" s="5" t="s">
        <v>27</v>
      </c>
      <c r="C21" s="5" t="s">
        <v>28</v>
      </c>
      <c r="D21" s="11">
        <v>2</v>
      </c>
      <c r="E21" s="11">
        <v>1</v>
      </c>
      <c r="F21" s="15">
        <v>2</v>
      </c>
      <c r="G21" s="15">
        <v>1</v>
      </c>
      <c r="H21" s="19"/>
      <c r="I21" s="19"/>
      <c r="J21" s="11" t="str">
        <f t="shared" si="0"/>
        <v/>
      </c>
      <c r="K21" s="15" t="str">
        <f t="shared" si="1"/>
        <v/>
      </c>
      <c r="L21" s="11"/>
      <c r="M21" s="11"/>
      <c r="N21" s="15"/>
      <c r="O21" s="15"/>
    </row>
    <row r="22" spans="1:15" x14ac:dyDescent="0.25">
      <c r="A22" s="5">
        <v>68</v>
      </c>
      <c r="B22" s="5" t="s">
        <v>45</v>
      </c>
      <c r="C22" s="5" t="s">
        <v>43</v>
      </c>
      <c r="D22" s="11">
        <v>2</v>
      </c>
      <c r="E22" s="11">
        <v>0</v>
      </c>
      <c r="F22" s="15">
        <v>2</v>
      </c>
      <c r="G22" s="15">
        <v>1</v>
      </c>
      <c r="H22" s="19"/>
      <c r="I22" s="19"/>
      <c r="J22" s="11" t="str">
        <f t="shared" si="0"/>
        <v/>
      </c>
      <c r="K22" s="15" t="str">
        <f t="shared" si="1"/>
        <v/>
      </c>
      <c r="L22" s="11"/>
      <c r="M22" s="11"/>
      <c r="N22" s="15"/>
      <c r="O22" s="15"/>
    </row>
    <row r="23" spans="1:15" x14ac:dyDescent="0.25">
      <c r="A23" s="5">
        <v>69</v>
      </c>
      <c r="B23" s="5" t="s">
        <v>29</v>
      </c>
      <c r="C23" s="5" t="s">
        <v>25</v>
      </c>
      <c r="D23" s="11">
        <v>2</v>
      </c>
      <c r="E23" s="11">
        <v>1</v>
      </c>
      <c r="F23" s="15">
        <v>1</v>
      </c>
      <c r="G23" s="15">
        <v>1</v>
      </c>
      <c r="H23" s="19"/>
      <c r="I23" s="19"/>
      <c r="J23" s="11" t="str">
        <f t="shared" si="0"/>
        <v/>
      </c>
      <c r="K23" s="15" t="str">
        <f t="shared" si="1"/>
        <v/>
      </c>
      <c r="L23" s="11"/>
      <c r="M23" s="11"/>
      <c r="N23" s="15"/>
      <c r="O23" s="15"/>
    </row>
    <row r="24" spans="1:15" x14ac:dyDescent="0.25">
      <c r="A24" s="5">
        <v>70</v>
      </c>
      <c r="B24" s="5" t="s">
        <v>22</v>
      </c>
      <c r="C24" s="5" t="s">
        <v>23</v>
      </c>
      <c r="D24" s="11">
        <v>1</v>
      </c>
      <c r="E24" s="11">
        <v>2</v>
      </c>
      <c r="F24" s="15">
        <v>0</v>
      </c>
      <c r="G24" s="15">
        <v>2</v>
      </c>
      <c r="H24" s="19"/>
      <c r="I24" s="19"/>
      <c r="J24" s="11" t="str">
        <f t="shared" si="0"/>
        <v/>
      </c>
      <c r="K24" s="15" t="str">
        <f t="shared" si="1"/>
        <v/>
      </c>
      <c r="L24" s="11"/>
      <c r="M24" s="11"/>
      <c r="N24" s="15"/>
      <c r="O24" s="15"/>
    </row>
    <row r="25" spans="1:15" x14ac:dyDescent="0.25">
      <c r="A25" s="6">
        <v>71</v>
      </c>
      <c r="B25" s="6" t="s">
        <v>42</v>
      </c>
      <c r="C25" s="6" t="s">
        <v>24</v>
      </c>
      <c r="D25" s="12">
        <v>3</v>
      </c>
      <c r="E25" s="12">
        <v>0</v>
      </c>
      <c r="F25" s="16">
        <v>3</v>
      </c>
      <c r="G25" s="16">
        <v>0</v>
      </c>
      <c r="H25" s="20"/>
      <c r="I25" s="20"/>
      <c r="J25" s="12" t="str">
        <f t="shared" si="0"/>
        <v/>
      </c>
      <c r="K25" s="16" t="str">
        <f t="shared" si="1"/>
        <v/>
      </c>
      <c r="L25" s="12"/>
      <c r="M25" s="12"/>
      <c r="N25" s="16"/>
      <c r="O25" s="16"/>
    </row>
  </sheetData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305C03-D6E2-43D3-BD60-047EFD4F6320}">
  <dimension ref="A1:O25"/>
  <sheetViews>
    <sheetView workbookViewId="0">
      <selection sqref="A1:XFD1"/>
    </sheetView>
  </sheetViews>
  <sheetFormatPr baseColWidth="10" defaultRowHeight="15" x14ac:dyDescent="0.25"/>
  <cols>
    <col min="1" max="1" width="11.42578125" style="1"/>
    <col min="2" max="2" width="14.140625" style="1" bestFit="1" customWidth="1"/>
    <col min="3" max="3" width="14.28515625" style="1" bestFit="1" customWidth="1"/>
    <col min="4" max="9" width="6.5703125" style="1" customWidth="1"/>
    <col min="10" max="11" width="5.42578125" style="1" bestFit="1" customWidth="1"/>
    <col min="12" max="16384" width="11.42578125" style="1"/>
  </cols>
  <sheetData>
    <row r="1" spans="1:15" x14ac:dyDescent="0.25">
      <c r="A1" s="8" t="s">
        <v>56</v>
      </c>
      <c r="B1" s="8" t="s">
        <v>48</v>
      </c>
      <c r="C1" s="8" t="s">
        <v>49</v>
      </c>
      <c r="D1" s="9" t="s">
        <v>132</v>
      </c>
      <c r="E1" s="9" t="s">
        <v>133</v>
      </c>
      <c r="F1" s="13" t="s">
        <v>134</v>
      </c>
      <c r="G1" s="13" t="s">
        <v>63</v>
      </c>
      <c r="H1" s="17" t="s">
        <v>135</v>
      </c>
      <c r="I1" s="17" t="s">
        <v>136</v>
      </c>
      <c r="J1" s="9" t="s">
        <v>50</v>
      </c>
      <c r="K1" s="13" t="s">
        <v>51</v>
      </c>
      <c r="L1" s="9" t="s">
        <v>67</v>
      </c>
      <c r="M1" s="9" t="s">
        <v>66</v>
      </c>
      <c r="N1" s="13" t="s">
        <v>68</v>
      </c>
      <c r="O1" s="13" t="s">
        <v>69</v>
      </c>
    </row>
    <row r="2" spans="1:15" x14ac:dyDescent="0.25">
      <c r="A2" s="7">
        <v>24</v>
      </c>
      <c r="B2" s="7" t="s">
        <v>46</v>
      </c>
      <c r="C2" s="7" t="s">
        <v>30</v>
      </c>
      <c r="D2" s="10">
        <v>2</v>
      </c>
      <c r="E2" s="10">
        <v>0</v>
      </c>
      <c r="F2" s="14">
        <v>2</v>
      </c>
      <c r="G2" s="14">
        <v>0</v>
      </c>
      <c r="H2" s="18">
        <v>1</v>
      </c>
      <c r="I2" s="18">
        <v>1</v>
      </c>
      <c r="J2" s="10">
        <f>IF(OR(H2="",I2=""),"",IF(AND(D2=H2,E2=I2),3,IF(OR(AND(D2&gt; E2,H2&gt;I2),AND(D2= E2,H2=I2),AND(D2&lt; E2,H2&lt;I2)),1,0)))</f>
        <v>0</v>
      </c>
      <c r="K2" s="14">
        <f>IF(OR(H2="",I2=""),"",IF(AND(F2=H2,G2=I2),3,IF(OR(AND(F2&gt; G2,H2&gt;I2),AND(F2= G2,H2=I2),AND(F2&lt; G2,H2&lt;I2)),1,0)))</f>
        <v>0</v>
      </c>
      <c r="L2" s="10"/>
      <c r="M2" s="10"/>
      <c r="N2" s="14"/>
      <c r="O2" s="14"/>
    </row>
    <row r="3" spans="1:15" x14ac:dyDescent="0.25">
      <c r="A3" s="5">
        <v>25</v>
      </c>
      <c r="B3" s="5" t="s">
        <v>3</v>
      </c>
      <c r="C3" s="5" t="s">
        <v>0</v>
      </c>
      <c r="D3" s="11">
        <v>1</v>
      </c>
      <c r="E3" s="11">
        <v>2</v>
      </c>
      <c r="F3" s="15">
        <v>1</v>
      </c>
      <c r="G3" s="15">
        <v>1</v>
      </c>
      <c r="H3" s="19">
        <v>4</v>
      </c>
      <c r="I3" s="19">
        <v>1</v>
      </c>
      <c r="J3" s="10">
        <f t="shared" ref="J3:J25" si="0">IF(OR(H3="",I3=""),"",IF(AND(D3=H3,E3=I3),3,IF(OR(AND(D3&gt; E3,H3&gt;I3),AND(D3= E3,H3=I3),AND(D3&lt; E3,H3&lt;I3)),1,0)))</f>
        <v>0</v>
      </c>
      <c r="K3" s="14">
        <f t="shared" ref="K3:K25" si="1">IF(OR(H3="",I3=""),"",IF(AND(F3=H3,G3=I3),3,IF(OR(AND(F3&gt; G3,H3&gt;I3),AND(F3= G3,H3=I3),AND(F3&lt; G3,H3&lt;I3)),1,0)))</f>
        <v>0</v>
      </c>
      <c r="L3" s="11"/>
      <c r="M3" s="11"/>
      <c r="N3" s="15"/>
      <c r="O3" s="15"/>
    </row>
    <row r="4" spans="1:15" x14ac:dyDescent="0.25">
      <c r="A4" s="5">
        <v>26</v>
      </c>
      <c r="B4" s="5" t="s">
        <v>31</v>
      </c>
      <c r="C4" s="5" t="s">
        <v>32</v>
      </c>
      <c r="D4" s="11">
        <v>1</v>
      </c>
      <c r="E4" s="11">
        <v>0</v>
      </c>
      <c r="F4" s="15">
        <v>2</v>
      </c>
      <c r="G4" s="15">
        <v>0</v>
      </c>
      <c r="H4" s="19">
        <v>6</v>
      </c>
      <c r="I4" s="19">
        <v>0</v>
      </c>
      <c r="J4" s="10">
        <f t="shared" si="0"/>
        <v>1</v>
      </c>
      <c r="K4" s="14">
        <f t="shared" si="1"/>
        <v>1</v>
      </c>
      <c r="L4" s="11"/>
      <c r="M4" s="11"/>
      <c r="N4" s="15"/>
      <c r="O4" s="15"/>
    </row>
    <row r="5" spans="1:15" x14ac:dyDescent="0.25">
      <c r="A5" s="5">
        <v>27</v>
      </c>
      <c r="B5" s="5" t="s">
        <v>33</v>
      </c>
      <c r="C5" s="5" t="s">
        <v>34</v>
      </c>
      <c r="D5" s="11">
        <v>2</v>
      </c>
      <c r="E5" s="11">
        <v>2</v>
      </c>
      <c r="F5" s="15">
        <v>1</v>
      </c>
      <c r="G5" s="15">
        <v>2</v>
      </c>
      <c r="H5" s="19">
        <v>1</v>
      </c>
      <c r="I5" s="19">
        <v>0</v>
      </c>
      <c r="J5" s="10">
        <f t="shared" si="0"/>
        <v>0</v>
      </c>
      <c r="K5" s="14">
        <f t="shared" si="1"/>
        <v>0</v>
      </c>
      <c r="L5" s="11"/>
      <c r="M5" s="11"/>
      <c r="N5" s="15"/>
      <c r="O5" s="15"/>
    </row>
    <row r="6" spans="1:15" x14ac:dyDescent="0.25">
      <c r="A6" s="5">
        <v>28</v>
      </c>
      <c r="B6" s="5" t="s">
        <v>35</v>
      </c>
      <c r="C6" s="5" t="s">
        <v>7</v>
      </c>
      <c r="D6" s="11">
        <v>2</v>
      </c>
      <c r="E6" s="11">
        <v>0</v>
      </c>
      <c r="F6" s="15">
        <v>3</v>
      </c>
      <c r="G6" s="15">
        <v>0</v>
      </c>
      <c r="H6" s="19">
        <v>2</v>
      </c>
      <c r="I6" s="19">
        <v>0</v>
      </c>
      <c r="J6" s="10">
        <f t="shared" si="0"/>
        <v>3</v>
      </c>
      <c r="K6" s="14">
        <f t="shared" si="1"/>
        <v>1</v>
      </c>
      <c r="L6" s="11"/>
      <c r="M6" s="11"/>
      <c r="N6" s="15"/>
      <c r="O6" s="15"/>
    </row>
    <row r="7" spans="1:15" x14ac:dyDescent="0.25">
      <c r="A7" s="5">
        <v>29</v>
      </c>
      <c r="B7" s="5" t="s">
        <v>6</v>
      </c>
      <c r="C7" s="5" t="s">
        <v>5</v>
      </c>
      <c r="D7" s="11">
        <v>0</v>
      </c>
      <c r="E7" s="11">
        <v>2</v>
      </c>
      <c r="F7" s="15">
        <v>0</v>
      </c>
      <c r="G7" s="15">
        <v>2</v>
      </c>
      <c r="H7" s="19">
        <v>0</v>
      </c>
      <c r="I7" s="19">
        <v>1</v>
      </c>
      <c r="J7" s="10">
        <f t="shared" si="0"/>
        <v>1</v>
      </c>
      <c r="K7" s="14">
        <f t="shared" si="1"/>
        <v>1</v>
      </c>
      <c r="L7" s="11"/>
      <c r="M7" s="11"/>
      <c r="N7" s="15"/>
      <c r="O7" s="15"/>
    </row>
    <row r="8" spans="1:15" x14ac:dyDescent="0.25">
      <c r="A8" s="5">
        <v>30</v>
      </c>
      <c r="B8" s="5" t="s">
        <v>4</v>
      </c>
      <c r="C8" s="5" t="s">
        <v>36</v>
      </c>
      <c r="D8" s="11">
        <v>3</v>
      </c>
      <c r="E8" s="11">
        <v>0</v>
      </c>
      <c r="F8" s="15">
        <v>4</v>
      </c>
      <c r="G8" s="15">
        <v>0</v>
      </c>
      <c r="H8" s="19">
        <v>3</v>
      </c>
      <c r="I8" s="19">
        <v>0</v>
      </c>
      <c r="J8" s="10">
        <f t="shared" si="0"/>
        <v>3</v>
      </c>
      <c r="K8" s="14">
        <f t="shared" si="1"/>
        <v>1</v>
      </c>
      <c r="L8" s="11"/>
      <c r="M8" s="11"/>
      <c r="N8" s="15" t="s">
        <v>55</v>
      </c>
      <c r="O8" s="15">
        <v>8</v>
      </c>
    </row>
    <row r="9" spans="1:15" x14ac:dyDescent="0.25">
      <c r="A9" s="5">
        <v>31</v>
      </c>
      <c r="B9" s="5" t="s">
        <v>37</v>
      </c>
      <c r="C9" s="5" t="s">
        <v>1</v>
      </c>
      <c r="D9" s="11">
        <v>0</v>
      </c>
      <c r="E9" s="11">
        <v>1</v>
      </c>
      <c r="F9" s="15">
        <v>0</v>
      </c>
      <c r="G9" s="15">
        <v>1</v>
      </c>
      <c r="H9" s="19">
        <v>0</v>
      </c>
      <c r="I9" s="19">
        <v>1</v>
      </c>
      <c r="J9" s="10">
        <f t="shared" si="0"/>
        <v>3</v>
      </c>
      <c r="K9" s="14">
        <f t="shared" si="1"/>
        <v>3</v>
      </c>
      <c r="L9" s="11"/>
      <c r="M9" s="11"/>
      <c r="N9" s="15"/>
      <c r="O9" s="15"/>
    </row>
    <row r="10" spans="1:15" x14ac:dyDescent="0.25">
      <c r="A10" s="5">
        <v>32</v>
      </c>
      <c r="B10" s="5" t="s">
        <v>10</v>
      </c>
      <c r="C10" s="5" t="s">
        <v>12</v>
      </c>
      <c r="D10" s="11">
        <v>1</v>
      </c>
      <c r="E10" s="11">
        <v>1</v>
      </c>
      <c r="F10" s="15">
        <v>2</v>
      </c>
      <c r="G10" s="15">
        <v>1</v>
      </c>
      <c r="H10" s="19">
        <v>5</v>
      </c>
      <c r="I10" s="19">
        <v>1</v>
      </c>
      <c r="J10" s="10">
        <f t="shared" si="0"/>
        <v>0</v>
      </c>
      <c r="K10" s="14">
        <f t="shared" si="1"/>
        <v>1</v>
      </c>
      <c r="L10" s="11"/>
      <c r="M10" s="11"/>
      <c r="N10" s="15"/>
      <c r="O10" s="15"/>
    </row>
    <row r="11" spans="1:15" x14ac:dyDescent="0.25">
      <c r="A11" s="5">
        <v>33</v>
      </c>
      <c r="B11" s="5" t="s">
        <v>8</v>
      </c>
      <c r="C11" s="5" t="s">
        <v>38</v>
      </c>
      <c r="D11" s="11">
        <v>3</v>
      </c>
      <c r="E11" s="11">
        <v>1</v>
      </c>
      <c r="F11" s="15">
        <v>3</v>
      </c>
      <c r="G11" s="15">
        <v>1</v>
      </c>
      <c r="H11" s="19">
        <v>2</v>
      </c>
      <c r="I11" s="19">
        <v>1</v>
      </c>
      <c r="J11" s="10">
        <f t="shared" si="0"/>
        <v>1</v>
      </c>
      <c r="K11" s="14">
        <f t="shared" si="1"/>
        <v>1</v>
      </c>
      <c r="L11" s="11" t="s">
        <v>54</v>
      </c>
      <c r="M11" s="11">
        <v>6.1</v>
      </c>
      <c r="N11" s="15"/>
      <c r="O11" s="15"/>
    </row>
    <row r="12" spans="1:15" x14ac:dyDescent="0.25">
      <c r="A12" s="5">
        <v>34</v>
      </c>
      <c r="B12" s="5" t="s">
        <v>11</v>
      </c>
      <c r="C12" s="5" t="s">
        <v>9</v>
      </c>
      <c r="D12" s="11">
        <v>3</v>
      </c>
      <c r="E12" s="11">
        <v>0</v>
      </c>
      <c r="F12" s="15">
        <v>4</v>
      </c>
      <c r="G12" s="15">
        <v>0</v>
      </c>
      <c r="H12" s="19">
        <v>0</v>
      </c>
      <c r="I12" s="19">
        <v>0</v>
      </c>
      <c r="J12" s="10">
        <f t="shared" si="0"/>
        <v>0</v>
      </c>
      <c r="K12" s="14">
        <f t="shared" si="1"/>
        <v>0</v>
      </c>
      <c r="L12" s="11"/>
      <c r="M12" s="11"/>
      <c r="N12" s="15"/>
      <c r="O12" s="15"/>
    </row>
    <row r="13" spans="1:15" x14ac:dyDescent="0.25">
      <c r="A13" s="5">
        <v>35</v>
      </c>
      <c r="B13" s="5" t="s">
        <v>77</v>
      </c>
      <c r="C13" s="5" t="s">
        <v>47</v>
      </c>
      <c r="D13" s="11">
        <v>1</v>
      </c>
      <c r="E13" s="11">
        <v>2</v>
      </c>
      <c r="F13" s="15">
        <v>0</v>
      </c>
      <c r="G13" s="15">
        <v>2</v>
      </c>
      <c r="H13" s="19">
        <v>0</v>
      </c>
      <c r="I13" s="19">
        <v>4</v>
      </c>
      <c r="J13" s="10">
        <f t="shared" si="0"/>
        <v>1</v>
      </c>
      <c r="K13" s="14">
        <f t="shared" si="1"/>
        <v>1</v>
      </c>
      <c r="L13" s="11"/>
      <c r="M13" s="11"/>
      <c r="N13" s="15"/>
      <c r="O13" s="15"/>
    </row>
    <row r="14" spans="1:15" x14ac:dyDescent="0.25">
      <c r="A14" s="5">
        <v>36</v>
      </c>
      <c r="B14" s="5" t="s">
        <v>13</v>
      </c>
      <c r="C14" s="5" t="s">
        <v>39</v>
      </c>
      <c r="D14" s="11">
        <v>2</v>
      </c>
      <c r="E14" s="11">
        <v>0</v>
      </c>
      <c r="F14" s="15">
        <v>3</v>
      </c>
      <c r="G14" s="15">
        <v>0</v>
      </c>
      <c r="H14" s="19">
        <v>4</v>
      </c>
      <c r="I14" s="19">
        <v>0</v>
      </c>
      <c r="J14" s="10">
        <f t="shared" si="0"/>
        <v>1</v>
      </c>
      <c r="K14" s="14">
        <f t="shared" si="1"/>
        <v>1</v>
      </c>
      <c r="L14" s="11"/>
      <c r="M14" s="11"/>
      <c r="N14" s="15"/>
      <c r="O14" s="15"/>
    </row>
    <row r="15" spans="1:15" x14ac:dyDescent="0.25">
      <c r="A15" s="5">
        <v>37</v>
      </c>
      <c r="B15" s="5" t="s">
        <v>40</v>
      </c>
      <c r="C15" s="5" t="s">
        <v>41</v>
      </c>
      <c r="D15" s="11">
        <v>3</v>
      </c>
      <c r="E15" s="11">
        <v>1</v>
      </c>
      <c r="F15" s="15">
        <v>2</v>
      </c>
      <c r="G15" s="15">
        <v>0</v>
      </c>
      <c r="H15" s="19">
        <v>0</v>
      </c>
      <c r="I15" s="19">
        <v>0</v>
      </c>
      <c r="J15" s="10">
        <f t="shared" si="0"/>
        <v>0</v>
      </c>
      <c r="K15" s="14">
        <f t="shared" si="1"/>
        <v>0</v>
      </c>
      <c r="L15" s="11"/>
      <c r="M15" s="11"/>
      <c r="N15" s="15"/>
      <c r="O15" s="15"/>
    </row>
    <row r="16" spans="1:15" x14ac:dyDescent="0.25">
      <c r="A16" s="5">
        <v>38</v>
      </c>
      <c r="B16" s="5" t="s">
        <v>16</v>
      </c>
      <c r="C16" s="5" t="s">
        <v>14</v>
      </c>
      <c r="D16" s="11">
        <v>3</v>
      </c>
      <c r="E16" s="11">
        <v>0</v>
      </c>
      <c r="F16" s="15">
        <v>2</v>
      </c>
      <c r="G16" s="15">
        <v>0</v>
      </c>
      <c r="H16" s="19">
        <v>2</v>
      </c>
      <c r="I16" s="19">
        <v>2</v>
      </c>
      <c r="J16" s="10">
        <f t="shared" si="0"/>
        <v>0</v>
      </c>
      <c r="K16" s="14">
        <f t="shared" si="1"/>
        <v>0</v>
      </c>
      <c r="L16" s="11"/>
      <c r="M16" s="11"/>
      <c r="N16" s="15"/>
      <c r="O16" s="15"/>
    </row>
    <row r="17" spans="1:15" x14ac:dyDescent="0.25">
      <c r="A17" s="5">
        <v>39</v>
      </c>
      <c r="B17" s="5" t="s">
        <v>17</v>
      </c>
      <c r="C17" s="5" t="s">
        <v>15</v>
      </c>
      <c r="D17" s="11">
        <v>1</v>
      </c>
      <c r="E17" s="11">
        <v>2</v>
      </c>
      <c r="F17" s="15">
        <v>0</v>
      </c>
      <c r="G17" s="15">
        <v>2</v>
      </c>
      <c r="H17" s="19">
        <v>1</v>
      </c>
      <c r="I17" s="19">
        <v>3</v>
      </c>
      <c r="J17" s="10">
        <f t="shared" si="0"/>
        <v>1</v>
      </c>
      <c r="K17" s="14">
        <f t="shared" si="1"/>
        <v>1</v>
      </c>
      <c r="L17" s="11"/>
      <c r="M17" s="11"/>
      <c r="N17" s="15"/>
      <c r="O17" s="15"/>
    </row>
    <row r="18" spans="1:15" x14ac:dyDescent="0.25">
      <c r="A18" s="5">
        <v>40</v>
      </c>
      <c r="B18" s="5" t="s">
        <v>42</v>
      </c>
      <c r="C18" s="5" t="s">
        <v>23</v>
      </c>
      <c r="D18" s="11">
        <v>2</v>
      </c>
      <c r="E18" s="11">
        <v>2</v>
      </c>
      <c r="F18" s="15">
        <v>2</v>
      </c>
      <c r="G18" s="15">
        <v>1</v>
      </c>
      <c r="H18" s="19">
        <v>2</v>
      </c>
      <c r="I18" s="19">
        <v>0</v>
      </c>
      <c r="J18" s="10">
        <f t="shared" si="0"/>
        <v>0</v>
      </c>
      <c r="K18" s="14">
        <f t="shared" si="1"/>
        <v>1</v>
      </c>
      <c r="L18" s="11"/>
      <c r="M18" s="11"/>
      <c r="N18" s="15"/>
      <c r="O18" s="15"/>
    </row>
    <row r="19" spans="1:15" x14ac:dyDescent="0.25">
      <c r="A19" s="5">
        <v>41</v>
      </c>
      <c r="B19" s="5" t="s">
        <v>18</v>
      </c>
      <c r="C19" s="5" t="s">
        <v>20</v>
      </c>
      <c r="D19" s="11">
        <v>4</v>
      </c>
      <c r="E19" s="11">
        <v>0</v>
      </c>
      <c r="F19" s="15">
        <v>3</v>
      </c>
      <c r="G19" s="15">
        <v>0</v>
      </c>
      <c r="H19" s="19">
        <v>3</v>
      </c>
      <c r="I19" s="19">
        <v>0</v>
      </c>
      <c r="J19" s="10">
        <f t="shared" si="0"/>
        <v>1</v>
      </c>
      <c r="K19" s="14">
        <f t="shared" si="1"/>
        <v>3</v>
      </c>
      <c r="L19" s="11"/>
      <c r="M19" s="11"/>
      <c r="N19" s="15"/>
      <c r="O19" s="15"/>
    </row>
    <row r="20" spans="1:15" x14ac:dyDescent="0.25">
      <c r="A20" s="5">
        <v>42</v>
      </c>
      <c r="B20" s="5" t="s">
        <v>21</v>
      </c>
      <c r="C20" s="5" t="s">
        <v>19</v>
      </c>
      <c r="D20" s="11">
        <v>3</v>
      </c>
      <c r="E20" s="11">
        <v>2</v>
      </c>
      <c r="F20" s="15">
        <v>2</v>
      </c>
      <c r="G20" s="15">
        <v>1</v>
      </c>
      <c r="H20" s="19">
        <v>3</v>
      </c>
      <c r="I20" s="19">
        <v>2</v>
      </c>
      <c r="J20" s="10">
        <f t="shared" si="0"/>
        <v>3</v>
      </c>
      <c r="K20" s="14">
        <f t="shared" si="1"/>
        <v>1</v>
      </c>
      <c r="L20" s="11"/>
      <c r="M20" s="11"/>
      <c r="N20" s="15"/>
      <c r="O20" s="15"/>
    </row>
    <row r="21" spans="1:15" x14ac:dyDescent="0.25">
      <c r="A21" s="5">
        <v>43</v>
      </c>
      <c r="B21" s="5" t="s">
        <v>24</v>
      </c>
      <c r="C21" s="5" t="s">
        <v>22</v>
      </c>
      <c r="D21" s="11">
        <v>0</v>
      </c>
      <c r="E21" s="11">
        <v>2</v>
      </c>
      <c r="F21" s="15">
        <v>0</v>
      </c>
      <c r="G21" s="15">
        <v>2</v>
      </c>
      <c r="H21" s="19">
        <v>1</v>
      </c>
      <c r="I21" s="19">
        <v>2</v>
      </c>
      <c r="J21" s="10">
        <f t="shared" si="0"/>
        <v>1</v>
      </c>
      <c r="K21" s="14">
        <f t="shared" si="1"/>
        <v>1</v>
      </c>
      <c r="L21" s="11"/>
      <c r="M21" s="11"/>
      <c r="N21" s="15"/>
      <c r="O21" s="15"/>
    </row>
    <row r="22" spans="1:15" x14ac:dyDescent="0.25">
      <c r="A22" s="5">
        <v>44</v>
      </c>
      <c r="B22" s="5" t="s">
        <v>25</v>
      </c>
      <c r="C22" s="5" t="s">
        <v>43</v>
      </c>
      <c r="D22" s="11">
        <v>3</v>
      </c>
      <c r="E22" s="11">
        <v>0</v>
      </c>
      <c r="F22" s="15">
        <v>3</v>
      </c>
      <c r="G22" s="15">
        <v>0</v>
      </c>
      <c r="H22" s="19">
        <v>5</v>
      </c>
      <c r="I22" s="19">
        <v>0</v>
      </c>
      <c r="J22" s="10">
        <f t="shared" si="0"/>
        <v>1</v>
      </c>
      <c r="K22" s="14">
        <f t="shared" si="1"/>
        <v>1</v>
      </c>
      <c r="L22" s="11"/>
      <c r="M22" s="11"/>
      <c r="N22" s="15"/>
      <c r="O22" s="15"/>
    </row>
    <row r="23" spans="1:15" x14ac:dyDescent="0.25">
      <c r="A23" s="5">
        <v>45</v>
      </c>
      <c r="B23" s="5" t="s">
        <v>26</v>
      </c>
      <c r="C23" s="5" t="s">
        <v>28</v>
      </c>
      <c r="D23" s="11">
        <v>3</v>
      </c>
      <c r="E23" s="11">
        <v>1</v>
      </c>
      <c r="F23" s="15">
        <v>2</v>
      </c>
      <c r="G23" s="15">
        <v>1</v>
      </c>
      <c r="H23" s="19">
        <v>0</v>
      </c>
      <c r="I23" s="19">
        <v>0</v>
      </c>
      <c r="J23" s="10">
        <f t="shared" si="0"/>
        <v>0</v>
      </c>
      <c r="K23" s="14">
        <f t="shared" si="1"/>
        <v>0</v>
      </c>
      <c r="L23" s="11"/>
      <c r="M23" s="11"/>
      <c r="N23" s="15"/>
      <c r="O23" s="15"/>
    </row>
    <row r="24" spans="1:15" x14ac:dyDescent="0.25">
      <c r="A24" s="5">
        <v>46</v>
      </c>
      <c r="B24" s="5" t="s">
        <v>44</v>
      </c>
      <c r="C24" s="5" t="s">
        <v>27</v>
      </c>
      <c r="D24" s="11">
        <v>0</v>
      </c>
      <c r="E24" s="11">
        <v>2</v>
      </c>
      <c r="F24" s="15">
        <v>0</v>
      </c>
      <c r="G24" s="15">
        <v>3</v>
      </c>
      <c r="H24" s="19">
        <v>0</v>
      </c>
      <c r="I24" s="19">
        <v>1</v>
      </c>
      <c r="J24" s="10">
        <f t="shared" si="0"/>
        <v>1</v>
      </c>
      <c r="K24" s="14">
        <f t="shared" si="1"/>
        <v>1</v>
      </c>
      <c r="L24" s="11"/>
      <c r="M24" s="11"/>
      <c r="N24" s="15"/>
      <c r="O24" s="15"/>
    </row>
    <row r="25" spans="1:15" x14ac:dyDescent="0.25">
      <c r="A25" s="6">
        <v>47</v>
      </c>
      <c r="B25" s="6" t="s">
        <v>29</v>
      </c>
      <c r="C25" s="6" t="s">
        <v>45</v>
      </c>
      <c r="D25" s="12">
        <v>2</v>
      </c>
      <c r="E25" s="12">
        <v>0</v>
      </c>
      <c r="F25" s="16">
        <v>3</v>
      </c>
      <c r="G25" s="16">
        <v>0</v>
      </c>
      <c r="H25" s="20">
        <v>1</v>
      </c>
      <c r="I25" s="20">
        <v>0</v>
      </c>
      <c r="J25" s="10">
        <f t="shared" si="0"/>
        <v>1</v>
      </c>
      <c r="K25" s="14">
        <f t="shared" si="1"/>
        <v>1</v>
      </c>
      <c r="L25" s="12"/>
      <c r="M25" s="12"/>
      <c r="N25" s="16"/>
      <c r="O25" s="16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C6C825-7C0B-4AFF-BE3F-4F7032A78D0E}">
  <dimension ref="A1:O24"/>
  <sheetViews>
    <sheetView workbookViewId="0">
      <selection sqref="A1:XFD1"/>
    </sheetView>
  </sheetViews>
  <sheetFormatPr baseColWidth="10" defaultRowHeight="15" x14ac:dyDescent="0.25"/>
  <cols>
    <col min="1" max="1" width="11.42578125" style="1"/>
    <col min="2" max="2" width="14.140625" style="1" bestFit="1" customWidth="1"/>
    <col min="3" max="3" width="14.28515625" style="1" bestFit="1" customWidth="1"/>
    <col min="4" max="9" width="6.5703125" style="1" customWidth="1"/>
    <col min="10" max="11" width="5.42578125" style="1" bestFit="1" customWidth="1"/>
    <col min="12" max="16384" width="11.42578125" style="1"/>
  </cols>
  <sheetData>
    <row r="1" spans="1:15" x14ac:dyDescent="0.25">
      <c r="A1" s="8" t="s">
        <v>56</v>
      </c>
      <c r="B1" s="8" t="s">
        <v>48</v>
      </c>
      <c r="C1" s="8" t="s">
        <v>49</v>
      </c>
      <c r="D1" s="9" t="s">
        <v>132</v>
      </c>
      <c r="E1" s="9" t="s">
        <v>133</v>
      </c>
      <c r="F1" s="13" t="s">
        <v>134</v>
      </c>
      <c r="G1" s="13" t="s">
        <v>63</v>
      </c>
      <c r="H1" s="17" t="s">
        <v>135</v>
      </c>
      <c r="I1" s="17" t="s">
        <v>136</v>
      </c>
      <c r="J1" s="9" t="s">
        <v>50</v>
      </c>
      <c r="K1" s="13" t="s">
        <v>51</v>
      </c>
      <c r="L1" s="9" t="s">
        <v>67</v>
      </c>
      <c r="M1" s="9" t="s">
        <v>66</v>
      </c>
      <c r="N1" s="13" t="s">
        <v>68</v>
      </c>
      <c r="O1" s="13" t="s">
        <v>69</v>
      </c>
    </row>
    <row r="2" spans="1:15" x14ac:dyDescent="0.25">
      <c r="A2" s="7">
        <v>1</v>
      </c>
      <c r="B2" s="7" t="s">
        <v>34</v>
      </c>
      <c r="C2" s="7" t="s">
        <v>46</v>
      </c>
      <c r="D2" s="10">
        <v>0</v>
      </c>
      <c r="E2" s="10">
        <v>1</v>
      </c>
      <c r="F2" s="14">
        <v>1</v>
      </c>
      <c r="G2" s="14">
        <v>1</v>
      </c>
      <c r="H2" s="18">
        <v>2</v>
      </c>
      <c r="I2" s="18">
        <v>1</v>
      </c>
      <c r="J2" s="10">
        <f>IF(OR(H2="",I2=""),"",IF(AND(D2=H2,E2=I2),3,IF(OR(AND(D2&gt; E2,H2&gt;I2),AND(D2= E2,H2=I2),AND(D2&lt; E2,H2&lt;I2)),1,0)))</f>
        <v>0</v>
      </c>
      <c r="K2" s="14">
        <f>IF(OR(H2="",I2=""),"",IF(AND(F2=H2,G2=I2),3,IF(OR(AND(F2&gt; G2,H2&gt;I2),AND(F2= G2,H2=I2),AND(F2&lt; G2,H2&lt;I2)),1,0)))</f>
        <v>0</v>
      </c>
      <c r="L2" s="10"/>
      <c r="M2" s="10"/>
      <c r="N2" s="14"/>
      <c r="O2" s="14"/>
    </row>
    <row r="3" spans="1:15" x14ac:dyDescent="0.25">
      <c r="A3" s="5">
        <v>2</v>
      </c>
      <c r="B3" s="5" t="s">
        <v>31</v>
      </c>
      <c r="C3" s="5" t="s">
        <v>0</v>
      </c>
      <c r="D3" s="11">
        <v>2</v>
      </c>
      <c r="E3" s="11">
        <v>1</v>
      </c>
      <c r="F3" s="15">
        <v>2</v>
      </c>
      <c r="G3" s="15">
        <v>1</v>
      </c>
      <c r="H3" s="19">
        <v>1</v>
      </c>
      <c r="I3" s="19">
        <v>1</v>
      </c>
      <c r="J3" s="10">
        <f t="shared" ref="J3:J24" si="0">IF(OR(H3="",I3=""),"",IF(AND(D3=H3,E3=I3),3,IF(OR(AND(D3&gt; E3,H3&gt;I3),AND(D3= E3,H3=I3),AND(D3&lt; E3,H3&lt;I3)),1,0)))</f>
        <v>0</v>
      </c>
      <c r="K3" s="14">
        <f t="shared" ref="K3:K24" si="1">IF(OR(H3="",I3=""),"",IF(AND(F3=H3,G3=I3),3,IF(OR(AND(F3&gt; G3,H3&gt;I3),AND(F3= G3,H3=I3),AND(F3&lt; G3,H3&lt;I3)),1,0)))</f>
        <v>0</v>
      </c>
      <c r="L3" s="11"/>
      <c r="M3" s="11"/>
      <c r="N3" s="15"/>
      <c r="O3" s="15"/>
    </row>
    <row r="4" spans="1:15" x14ac:dyDescent="0.25">
      <c r="A4" s="5">
        <v>3</v>
      </c>
      <c r="B4" s="5" t="s">
        <v>35</v>
      </c>
      <c r="C4" s="5" t="s">
        <v>1</v>
      </c>
      <c r="D4" s="11">
        <v>2</v>
      </c>
      <c r="E4" s="11">
        <v>0</v>
      </c>
      <c r="F4" s="15">
        <v>1</v>
      </c>
      <c r="G4" s="15">
        <v>1</v>
      </c>
      <c r="H4" s="19">
        <v>4</v>
      </c>
      <c r="I4" s="19">
        <v>1</v>
      </c>
      <c r="J4" s="10">
        <f t="shared" si="0"/>
        <v>1</v>
      </c>
      <c r="K4" s="14">
        <f t="shared" si="1"/>
        <v>0</v>
      </c>
      <c r="L4" s="11"/>
      <c r="M4" s="11"/>
      <c r="N4" s="15"/>
      <c r="O4" s="15"/>
    </row>
    <row r="5" spans="1:15" x14ac:dyDescent="0.25">
      <c r="A5" s="5">
        <v>4</v>
      </c>
      <c r="B5" s="5" t="s">
        <v>2</v>
      </c>
      <c r="C5" s="5" t="s">
        <v>3</v>
      </c>
      <c r="D5" s="11">
        <v>0</v>
      </c>
      <c r="E5" s="11">
        <v>3</v>
      </c>
      <c r="F5" s="15">
        <v>0</v>
      </c>
      <c r="G5" s="15">
        <v>2</v>
      </c>
      <c r="H5" s="19">
        <v>1</v>
      </c>
      <c r="I5" s="19">
        <v>1</v>
      </c>
      <c r="J5" s="10">
        <f t="shared" si="0"/>
        <v>0</v>
      </c>
      <c r="K5" s="14">
        <f t="shared" si="1"/>
        <v>0</v>
      </c>
      <c r="L5" s="11"/>
      <c r="M5" s="11"/>
      <c r="N5" s="15"/>
      <c r="O5" s="15"/>
    </row>
    <row r="6" spans="1:15" x14ac:dyDescent="0.25">
      <c r="A6" s="5">
        <v>5</v>
      </c>
      <c r="B6" s="5" t="s">
        <v>4</v>
      </c>
      <c r="C6" s="5" t="s">
        <v>5</v>
      </c>
      <c r="D6" s="11">
        <v>2</v>
      </c>
      <c r="E6" s="11">
        <v>2</v>
      </c>
      <c r="F6" s="15">
        <v>2</v>
      </c>
      <c r="G6" s="15">
        <v>1</v>
      </c>
      <c r="H6" s="19">
        <v>1</v>
      </c>
      <c r="I6" s="19">
        <v>1</v>
      </c>
      <c r="J6" s="10">
        <f t="shared" si="0"/>
        <v>1</v>
      </c>
      <c r="K6" s="14">
        <f t="shared" si="1"/>
        <v>0</v>
      </c>
      <c r="L6" s="11"/>
      <c r="M6" s="11"/>
      <c r="N6" s="15"/>
      <c r="O6" s="15"/>
    </row>
    <row r="7" spans="1:15" x14ac:dyDescent="0.25">
      <c r="A7" s="5">
        <v>6</v>
      </c>
      <c r="B7" s="5" t="s">
        <v>36</v>
      </c>
      <c r="C7" s="5" t="s">
        <v>6</v>
      </c>
      <c r="D7" s="11">
        <v>0</v>
      </c>
      <c r="E7" s="11">
        <v>2</v>
      </c>
      <c r="F7" s="15">
        <v>0</v>
      </c>
      <c r="G7" s="15">
        <v>2</v>
      </c>
      <c r="H7" s="19">
        <v>0</v>
      </c>
      <c r="I7" s="19">
        <v>1</v>
      </c>
      <c r="J7" s="10">
        <f t="shared" si="0"/>
        <v>1</v>
      </c>
      <c r="K7" s="14">
        <f t="shared" si="1"/>
        <v>1</v>
      </c>
      <c r="L7" s="11"/>
      <c r="M7" s="11"/>
      <c r="N7" s="15"/>
      <c r="O7" s="15"/>
    </row>
    <row r="8" spans="1:15" x14ac:dyDescent="0.25">
      <c r="A8" s="5">
        <v>7</v>
      </c>
      <c r="B8" s="5" t="s">
        <v>7</v>
      </c>
      <c r="C8" s="5" t="s">
        <v>37</v>
      </c>
      <c r="D8" s="11">
        <v>1</v>
      </c>
      <c r="E8" s="11">
        <v>2</v>
      </c>
      <c r="F8" s="15">
        <v>0</v>
      </c>
      <c r="G8" s="15">
        <v>2</v>
      </c>
      <c r="H8" s="19">
        <v>2</v>
      </c>
      <c r="I8" s="19">
        <v>0</v>
      </c>
      <c r="J8" s="10">
        <f t="shared" si="0"/>
        <v>0</v>
      </c>
      <c r="K8" s="14">
        <f t="shared" si="1"/>
        <v>0</v>
      </c>
      <c r="L8" s="11"/>
      <c r="M8" s="11"/>
      <c r="N8" s="15"/>
      <c r="O8" s="15"/>
    </row>
    <row r="9" spans="1:15" x14ac:dyDescent="0.25">
      <c r="A9" s="5">
        <v>8</v>
      </c>
      <c r="B9" s="5" t="s">
        <v>8</v>
      </c>
      <c r="C9" s="5" t="s">
        <v>9</v>
      </c>
      <c r="D9" s="11">
        <v>4</v>
      </c>
      <c r="E9" s="11">
        <v>0</v>
      </c>
      <c r="F9" s="15">
        <v>4</v>
      </c>
      <c r="G9" s="15">
        <v>0</v>
      </c>
      <c r="H9" s="19">
        <v>7</v>
      </c>
      <c r="I9" s="19">
        <v>1</v>
      </c>
      <c r="J9" s="10">
        <f t="shared" si="0"/>
        <v>1</v>
      </c>
      <c r="K9" s="14">
        <f t="shared" si="1"/>
        <v>1</v>
      </c>
      <c r="L9" s="11"/>
      <c r="M9" s="11"/>
      <c r="N9" s="15"/>
      <c r="O9" s="15"/>
    </row>
    <row r="10" spans="1:15" x14ac:dyDescent="0.25">
      <c r="A10" s="5">
        <v>9</v>
      </c>
      <c r="B10" s="5" t="s">
        <v>10</v>
      </c>
      <c r="C10" s="5" t="s">
        <v>47</v>
      </c>
      <c r="D10" s="11">
        <v>2</v>
      </c>
      <c r="E10" s="11">
        <v>1</v>
      </c>
      <c r="F10" s="15">
        <v>2</v>
      </c>
      <c r="G10" s="15">
        <v>1</v>
      </c>
      <c r="H10" s="19">
        <v>2</v>
      </c>
      <c r="I10" s="19">
        <v>2</v>
      </c>
      <c r="J10" s="10">
        <f t="shared" si="0"/>
        <v>0</v>
      </c>
      <c r="K10" s="14">
        <f t="shared" si="1"/>
        <v>0</v>
      </c>
      <c r="L10" s="11"/>
      <c r="M10" s="11"/>
      <c r="N10" s="15"/>
      <c r="O10" s="15"/>
    </row>
    <row r="11" spans="1:15" x14ac:dyDescent="0.25">
      <c r="A11" s="5">
        <v>10</v>
      </c>
      <c r="B11" s="5" t="s">
        <v>38</v>
      </c>
      <c r="C11" s="5" t="s">
        <v>11</v>
      </c>
      <c r="D11" s="11">
        <v>2</v>
      </c>
      <c r="E11" s="11">
        <v>2</v>
      </c>
      <c r="F11" s="15">
        <v>1</v>
      </c>
      <c r="G11" s="15">
        <v>1</v>
      </c>
      <c r="H11" s="19">
        <v>1</v>
      </c>
      <c r="I11" s="19">
        <v>0</v>
      </c>
      <c r="J11" s="10">
        <f t="shared" si="0"/>
        <v>0</v>
      </c>
      <c r="K11" s="14">
        <f t="shared" si="1"/>
        <v>0</v>
      </c>
      <c r="L11" s="11"/>
      <c r="M11" s="11"/>
      <c r="N11" s="15"/>
      <c r="O11" s="15"/>
    </row>
    <row r="12" spans="1:15" x14ac:dyDescent="0.25">
      <c r="A12" s="5">
        <v>11</v>
      </c>
      <c r="B12" s="5" t="s">
        <v>12</v>
      </c>
      <c r="C12" s="5" t="s">
        <v>77</v>
      </c>
      <c r="D12" s="11">
        <v>2</v>
      </c>
      <c r="E12" s="11">
        <v>0</v>
      </c>
      <c r="F12" s="15">
        <v>3</v>
      </c>
      <c r="G12" s="15">
        <v>0</v>
      </c>
      <c r="H12" s="19">
        <v>5</v>
      </c>
      <c r="I12" s="19">
        <v>1</v>
      </c>
      <c r="J12" s="10">
        <f t="shared" si="0"/>
        <v>1</v>
      </c>
      <c r="K12" s="14">
        <f t="shared" si="1"/>
        <v>1</v>
      </c>
      <c r="L12" s="11"/>
      <c r="M12" s="11"/>
      <c r="N12" s="15"/>
      <c r="O12" s="15"/>
    </row>
    <row r="13" spans="1:15" x14ac:dyDescent="0.25">
      <c r="A13" s="5">
        <v>12</v>
      </c>
      <c r="B13" s="5" t="s">
        <v>13</v>
      </c>
      <c r="C13" s="5" t="s">
        <v>14</v>
      </c>
      <c r="D13" s="11">
        <v>5</v>
      </c>
      <c r="E13" s="11">
        <v>0</v>
      </c>
      <c r="F13" s="15">
        <v>4</v>
      </c>
      <c r="G13" s="15">
        <v>0</v>
      </c>
      <c r="H13" s="19">
        <v>0</v>
      </c>
      <c r="I13" s="19">
        <v>0</v>
      </c>
      <c r="J13" s="10">
        <f t="shared" si="0"/>
        <v>0</v>
      </c>
      <c r="K13" s="14">
        <f t="shared" si="1"/>
        <v>0</v>
      </c>
      <c r="L13" s="11"/>
      <c r="M13" s="11"/>
      <c r="N13" s="15"/>
      <c r="O13" s="15"/>
    </row>
    <row r="14" spans="1:15" x14ac:dyDescent="0.25">
      <c r="A14" s="5">
        <v>13</v>
      </c>
      <c r="B14" s="5" t="s">
        <v>40</v>
      </c>
      <c r="C14" s="5" t="s">
        <v>15</v>
      </c>
      <c r="D14" s="11">
        <v>1</v>
      </c>
      <c r="E14" s="11">
        <v>1</v>
      </c>
      <c r="F14" s="15">
        <v>3</v>
      </c>
      <c r="G14" s="15">
        <v>1</v>
      </c>
      <c r="H14" s="19">
        <v>1</v>
      </c>
      <c r="I14" s="19">
        <v>1</v>
      </c>
      <c r="J14" s="10">
        <f t="shared" si="0"/>
        <v>3</v>
      </c>
      <c r="K14" s="14">
        <f t="shared" si="1"/>
        <v>0</v>
      </c>
      <c r="L14" s="11"/>
      <c r="M14" s="11"/>
      <c r="N14" s="15"/>
      <c r="O14" s="15"/>
    </row>
    <row r="15" spans="1:15" x14ac:dyDescent="0.25">
      <c r="A15" s="5">
        <v>14</v>
      </c>
      <c r="B15" s="5" t="s">
        <v>39</v>
      </c>
      <c r="C15" s="5" t="s">
        <v>16</v>
      </c>
      <c r="D15" s="11">
        <v>0</v>
      </c>
      <c r="E15" s="11">
        <v>2</v>
      </c>
      <c r="F15" s="15">
        <v>0</v>
      </c>
      <c r="G15" s="15">
        <v>2</v>
      </c>
      <c r="H15" s="19">
        <v>1</v>
      </c>
      <c r="I15" s="19">
        <v>1</v>
      </c>
      <c r="J15" s="10">
        <f t="shared" si="0"/>
        <v>0</v>
      </c>
      <c r="K15" s="14">
        <f t="shared" si="1"/>
        <v>0</v>
      </c>
      <c r="L15" s="11"/>
      <c r="M15" s="11"/>
      <c r="N15" s="15"/>
      <c r="O15" s="15"/>
    </row>
    <row r="16" spans="1:15" x14ac:dyDescent="0.25">
      <c r="A16" s="5">
        <v>15</v>
      </c>
      <c r="B16" s="5" t="s">
        <v>41</v>
      </c>
      <c r="C16" s="5" t="s">
        <v>17</v>
      </c>
      <c r="D16" s="11">
        <v>2</v>
      </c>
      <c r="E16" s="11">
        <v>0</v>
      </c>
      <c r="F16" s="15">
        <v>2</v>
      </c>
      <c r="G16" s="15">
        <v>0</v>
      </c>
      <c r="H16" s="19">
        <v>2</v>
      </c>
      <c r="I16" s="19">
        <v>2</v>
      </c>
      <c r="J16" s="10">
        <f t="shared" si="0"/>
        <v>0</v>
      </c>
      <c r="K16" s="14">
        <f t="shared" si="1"/>
        <v>0</v>
      </c>
      <c r="L16" s="11"/>
      <c r="M16" s="11"/>
      <c r="N16" s="15"/>
      <c r="O16" s="15"/>
    </row>
    <row r="17" spans="1:15" x14ac:dyDescent="0.25">
      <c r="A17" s="5">
        <v>16</v>
      </c>
      <c r="B17" s="5" t="s">
        <v>18</v>
      </c>
      <c r="C17" s="5" t="s">
        <v>19</v>
      </c>
      <c r="D17" s="11">
        <v>3</v>
      </c>
      <c r="E17" s="11">
        <v>1</v>
      </c>
      <c r="F17" s="15">
        <v>2</v>
      </c>
      <c r="G17" s="15">
        <v>1</v>
      </c>
      <c r="H17" s="19">
        <v>3</v>
      </c>
      <c r="I17" s="19">
        <v>1</v>
      </c>
      <c r="J17" s="10">
        <f t="shared" si="0"/>
        <v>3</v>
      </c>
      <c r="K17" s="14">
        <f t="shared" si="1"/>
        <v>1</v>
      </c>
      <c r="L17" s="11"/>
      <c r="M17" s="11"/>
      <c r="N17" s="15"/>
      <c r="O17" s="15"/>
    </row>
    <row r="18" spans="1:15" x14ac:dyDescent="0.25">
      <c r="A18" s="5">
        <v>17</v>
      </c>
      <c r="B18" s="5" t="s">
        <v>20</v>
      </c>
      <c r="C18" s="5" t="s">
        <v>21</v>
      </c>
      <c r="D18" s="11">
        <v>0</v>
      </c>
      <c r="E18" s="11">
        <v>3</v>
      </c>
      <c r="F18" s="15">
        <v>0</v>
      </c>
      <c r="G18" s="15">
        <v>3</v>
      </c>
      <c r="H18" s="19">
        <v>1</v>
      </c>
      <c r="I18" s="19">
        <v>4</v>
      </c>
      <c r="J18" s="10">
        <f t="shared" si="0"/>
        <v>1</v>
      </c>
      <c r="K18" s="14">
        <f t="shared" si="1"/>
        <v>1</v>
      </c>
      <c r="L18" s="11"/>
      <c r="M18" s="11"/>
      <c r="N18" s="15"/>
      <c r="O18" s="15"/>
    </row>
    <row r="19" spans="1:15" x14ac:dyDescent="0.25">
      <c r="A19" s="5">
        <v>18</v>
      </c>
      <c r="B19" s="5" t="s">
        <v>42</v>
      </c>
      <c r="C19" s="5" t="s">
        <v>22</v>
      </c>
      <c r="D19" s="11">
        <v>2</v>
      </c>
      <c r="E19" s="11">
        <v>1</v>
      </c>
      <c r="F19" s="15">
        <v>2</v>
      </c>
      <c r="G19" s="15">
        <v>1</v>
      </c>
      <c r="H19" s="19">
        <v>3</v>
      </c>
      <c r="I19" s="19">
        <v>0</v>
      </c>
      <c r="J19" s="10">
        <f t="shared" si="0"/>
        <v>1</v>
      </c>
      <c r="K19" s="14">
        <f t="shared" si="1"/>
        <v>1</v>
      </c>
      <c r="L19" s="11"/>
      <c r="M19" s="11"/>
      <c r="N19" s="15"/>
      <c r="O19" s="15"/>
    </row>
    <row r="20" spans="1:15" x14ac:dyDescent="0.25">
      <c r="A20" s="5">
        <v>19</v>
      </c>
      <c r="B20" s="5" t="s">
        <v>23</v>
      </c>
      <c r="C20" s="5" t="s">
        <v>24</v>
      </c>
      <c r="D20" s="11">
        <v>3</v>
      </c>
      <c r="E20" s="11">
        <v>0</v>
      </c>
      <c r="F20" s="15">
        <v>3</v>
      </c>
      <c r="G20" s="15">
        <v>0</v>
      </c>
      <c r="H20" s="19">
        <v>3</v>
      </c>
      <c r="I20" s="19">
        <v>1</v>
      </c>
      <c r="J20" s="10">
        <f t="shared" si="0"/>
        <v>1</v>
      </c>
      <c r="K20" s="14">
        <f t="shared" si="1"/>
        <v>1</v>
      </c>
      <c r="L20" s="11"/>
      <c r="M20" s="11"/>
      <c r="N20" s="15"/>
      <c r="O20" s="15"/>
    </row>
    <row r="21" spans="1:15" x14ac:dyDescent="0.25">
      <c r="A21" s="5">
        <v>20</v>
      </c>
      <c r="B21" s="5" t="s">
        <v>25</v>
      </c>
      <c r="C21" s="5" t="s">
        <v>45</v>
      </c>
      <c r="D21" s="11">
        <v>4</v>
      </c>
      <c r="E21" s="11">
        <v>0</v>
      </c>
      <c r="F21" s="15">
        <v>4</v>
      </c>
      <c r="G21" s="15">
        <v>0</v>
      </c>
      <c r="H21" s="19">
        <v>1</v>
      </c>
      <c r="I21" s="19">
        <v>1</v>
      </c>
      <c r="J21" s="10">
        <f t="shared" si="0"/>
        <v>0</v>
      </c>
      <c r="K21" s="14">
        <f t="shared" si="1"/>
        <v>0</v>
      </c>
      <c r="L21" s="11"/>
      <c r="M21" s="11"/>
      <c r="N21" s="15"/>
      <c r="O21" s="15"/>
    </row>
    <row r="22" spans="1:15" x14ac:dyDescent="0.25">
      <c r="A22" s="5">
        <v>21</v>
      </c>
      <c r="B22" s="5" t="s">
        <v>26</v>
      </c>
      <c r="C22" s="5" t="s">
        <v>27</v>
      </c>
      <c r="D22" s="11">
        <v>2</v>
      </c>
      <c r="E22" s="11">
        <v>0</v>
      </c>
      <c r="F22" s="15">
        <v>2</v>
      </c>
      <c r="G22" s="15">
        <v>1</v>
      </c>
      <c r="H22" s="19">
        <v>4</v>
      </c>
      <c r="I22" s="19">
        <v>2</v>
      </c>
      <c r="J22" s="10">
        <f t="shared" si="0"/>
        <v>1</v>
      </c>
      <c r="K22" s="14">
        <f t="shared" si="1"/>
        <v>1</v>
      </c>
      <c r="L22" s="11"/>
      <c r="M22" s="11"/>
      <c r="N22" s="15"/>
      <c r="O22" s="15"/>
    </row>
    <row r="23" spans="1:15" x14ac:dyDescent="0.25">
      <c r="A23" s="5">
        <v>22</v>
      </c>
      <c r="B23" s="5" t="s">
        <v>28</v>
      </c>
      <c r="C23" s="5" t="s">
        <v>44</v>
      </c>
      <c r="D23" s="11">
        <v>1</v>
      </c>
      <c r="E23" s="11">
        <v>1</v>
      </c>
      <c r="F23" s="15">
        <v>3</v>
      </c>
      <c r="G23" s="15">
        <v>0</v>
      </c>
      <c r="H23" s="19">
        <v>1</v>
      </c>
      <c r="I23" s="19">
        <v>0</v>
      </c>
      <c r="J23" s="10">
        <f t="shared" si="0"/>
        <v>0</v>
      </c>
      <c r="K23" s="14">
        <f t="shared" si="1"/>
        <v>1</v>
      </c>
      <c r="L23" s="11"/>
      <c r="M23" s="11"/>
      <c r="N23" s="15"/>
      <c r="O23" s="15"/>
    </row>
    <row r="24" spans="1:15" x14ac:dyDescent="0.25">
      <c r="A24" s="6">
        <v>23</v>
      </c>
      <c r="B24" s="6" t="s">
        <v>43</v>
      </c>
      <c r="C24" s="6" t="s">
        <v>29</v>
      </c>
      <c r="D24" s="12">
        <v>0</v>
      </c>
      <c r="E24" s="12">
        <v>3</v>
      </c>
      <c r="F24" s="16">
        <v>0</v>
      </c>
      <c r="G24" s="16">
        <v>3</v>
      </c>
      <c r="H24" s="20">
        <v>1</v>
      </c>
      <c r="I24" s="20">
        <v>3</v>
      </c>
      <c r="J24" s="10">
        <f t="shared" si="0"/>
        <v>1</v>
      </c>
      <c r="K24" s="14">
        <f t="shared" si="1"/>
        <v>1</v>
      </c>
      <c r="L24" s="12"/>
      <c r="M24" s="12"/>
      <c r="N24" s="16"/>
      <c r="O24" s="16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11</vt:i4>
      </vt:variant>
    </vt:vector>
  </HeadingPairs>
  <TitlesOfParts>
    <vt:vector size="11" baseType="lpstr">
      <vt:lpstr>points-table</vt:lpstr>
      <vt:lpstr>team-codes</vt:lpstr>
      <vt:lpstr>match-times</vt:lpstr>
      <vt:lpstr>final-3rd-place</vt:lpstr>
      <vt:lpstr>semifinals</vt:lpstr>
      <vt:lpstr>quaterfinals</vt:lpstr>
      <vt:lpstr>round-of-16</vt:lpstr>
      <vt:lpstr>round-of-32</vt:lpstr>
      <vt:lpstr>group-stage-3</vt:lpstr>
      <vt:lpstr>group-stage-2</vt:lpstr>
      <vt:lpstr>group-stage-1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Lucas V Mauro</dc:creator>
  <cp:lastModifiedBy>Lucas V Mauro</cp:lastModifiedBy>
  <dcterms:created xsi:type="dcterms:W3CDTF">2026-06-24T12:06:38Z</dcterms:created>
  <dcterms:modified xsi:type="dcterms:W3CDTF">2026-06-27T09:32:39Z</dcterms:modified>
</cp:coreProperties>
</file>